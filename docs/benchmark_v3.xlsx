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NV Benchmark" sheetId="2" state="visible" r:id="rId4"/>
    <sheet name="RAM Results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<sst xmlns="http://schemas.openxmlformats.org/spreadsheetml/2006/main" count="462" uniqueCount="240">
  <si>
    <t xml:space="preserve">benchmark_v3 — Experiment Summary</t>
  </si>
  <si>
    <t xml:space="preserve">One row per historical experiment. Planned benchmark combinations are shown only on the NV Benchmark sheet.</t>
  </si>
  <si>
    <t xml:space="preserve">Historical experiment IDs</t>
  </si>
  <si>
    <t xml:space="preserve">Primary combinations</t>
  </si>
  <si>
    <t xml:space="preserve">Inference complete</t>
  </si>
  <si>
    <t xml:space="preserve">Primary metrics complete</t>
  </si>
  <si>
    <t xml:space="preserve">Historical experiment register</t>
  </si>
  <si>
    <t xml:space="preserve">Experiment</t>
  </si>
  <si>
    <t xml:space="preserve">Model</t>
  </si>
  <si>
    <t xml:space="preserve">Dataset</t>
  </si>
  <si>
    <t xml:space="preserve">Protocol / purpose</t>
  </si>
  <si>
    <t xml:space="preserve">Status</t>
  </si>
  <si>
    <t xml:space="preserve">Evidence</t>
  </si>
  <si>
    <t xml:space="preserve">Next action</t>
  </si>
  <si>
    <t xml:space="preserve">EXP001</t>
  </si>
  <si>
    <t xml:space="preserve">NV-Raw2Insights</t>
  </si>
  <si>
    <t xml:space="preserve">In-house CINE, 10 cases</t>
  </si>
  <si>
    <t xml:space="preserve">Internal sensitivity estimation; 20 forced ACS lines</t>
  </si>
  <si>
    <t xml:space="preserve">acc8/acc16 metrics complete; acc24 pending</t>
  </si>
  <si>
    <t xml:space="preserve">output/CINE_test_acc*; Existing forced-ACS records</t>
  </si>
  <si>
    <t xml:space="preserve">Keep as historical compatibility reference</t>
  </si>
  <si>
    <t xml:space="preserve">EXP002</t>
  </si>
  <si>
    <t xml:space="preserve">External H5 dMap; raw VISTA masks; no forced ACS</t>
  </si>
  <si>
    <t xml:space="preserve">acc8/16/24 inference complete; metrics pending</t>
  </si>
  <si>
    <t xml:space="preserve">30 finite MAT outputs under output/h5_converted*</t>
  </si>
  <si>
    <t xml:space="preserve">Run one unified quantitative evaluation</t>
  </si>
  <si>
    <t xml:space="preserve">EXP003</t>
  </si>
  <si>
    <t xml:space="preserve">CMRxRecon</t>
  </si>
  <si>
    <t xml:space="preserve">External benchmark / generalization</t>
  </si>
  <si>
    <t xml:space="preserve">Ongoing</t>
  </si>
  <si>
    <t xml:space="preserve">Original Overview sheet</t>
  </si>
  <si>
    <t xml:space="preserve">Define final cohort and metrics</t>
  </si>
  <si>
    <t xml:space="preserve">EXP004</t>
  </si>
  <si>
    <t xml:space="preserve">RAM</t>
  </si>
  <si>
    <t xml:space="preserve">Official demo</t>
  </si>
  <si>
    <t xml:space="preserve">Checkpoint positive control</t>
  </si>
  <si>
    <t xml:space="preserve">Complete</t>
  </si>
  <si>
    <t xml:space="preserve">README inpainting positive control</t>
  </si>
  <si>
    <t xml:space="preserve">No further action</t>
  </si>
  <si>
    <t xml:space="preserve">EXP005</t>
  </si>
  <si>
    <t xml:space="preserve">fastMRI knee single-coil</t>
  </si>
  <si>
    <t xml:space="preserve">x8 reproduction</t>
  </si>
  <si>
    <t xml:space="preserve">RAM Results sheet</t>
  </si>
  <si>
    <t xml:space="preserve">Treat as diagnostic, not CINE baseline</t>
  </si>
  <si>
    <t xml:space="preserve">EXP006</t>
  </si>
  <si>
    <t xml:space="preserve">fastMRI brain</t>
  </si>
  <si>
    <t xml:space="preserve">First VCC smoke test</t>
  </si>
  <si>
    <t xml:space="preserve">Document VCC mismatch</t>
  </si>
  <si>
    <t xml:space="preserve">EXP007</t>
  </si>
  <si>
    <t xml:space="preserve">Crop-before-physics test</t>
  </si>
  <si>
    <t xml:space="preserve">No further sweep unless protocol changes</t>
  </si>
  <si>
    <t xml:space="preserve">EXP008</t>
  </si>
  <si>
    <t xml:space="preserve">Parameter sweep</t>
  </si>
  <si>
    <t xml:space="preserve">Report best setting with caveats</t>
  </si>
  <si>
    <t xml:space="preserve">Immediate benchmark priorities</t>
  </si>
  <si>
    <t xml:space="preserve">1. Evaluate the three completed NV no-ACS reconstructions with one consistent GT scaling and subject-level aggregation.</t>
  </si>
  <si>
    <t xml:space="preserve">2. Generate zero-filled RSS for the same masks; this is the minimum sanity baseline.</t>
  </si>
  <si>
    <t xml:space="preserve">3. Add CG-SENSE with external dMap as the conventional reconstruction baseline.</t>
  </si>
  <si>
    <t xml:space="preserve">4. Add Temporal-TV SENSE only if time permits after the first three methods are complete.</t>
  </si>
  <si>
    <t xml:space="preserve">NV CINE Benchmark</t>
  </si>
  <si>
    <t xml:space="preserve">Primary leaderboard: four methods × three raw VISTA mask rates. The same ten cases and masks must be used for every method.</t>
  </si>
  <si>
    <t xml:space="preserve">Inference-complete combinations</t>
  </si>
  <si>
    <t xml:space="preserve">Metric-complete combinations</t>
  </si>
  <si>
    <t xml:space="preserve">Total planned combinations</t>
  </si>
  <si>
    <t xml:space="preserve">Primary method × acceleration matrix</t>
  </si>
  <si>
    <t xml:space="preserve">Method</t>
  </si>
  <si>
    <t xml:space="preserve">Nominal label</t>
  </si>
  <si>
    <t xml:space="preserve">Mean effective R</t>
  </si>
  <si>
    <t xml:space="preserve">Cases</t>
  </si>
  <si>
    <t xml:space="preserve">Reconstruction status</t>
  </si>
  <si>
    <t xml:space="preserve">Metrics status</t>
  </si>
  <si>
    <t xml:space="preserve">PSNR</t>
  </si>
  <si>
    <t xml:space="preserve">SSIM</t>
  </si>
  <si>
    <t xml:space="preserve">NMSE</t>
  </si>
  <si>
    <t xml:space="preserve">Output / evidence</t>
  </si>
  <si>
    <t xml:space="preserve">Zero-filled RSS</t>
  </si>
  <si>
    <t xml:space="preserve">Not started</t>
  </si>
  <si>
    <t xml:space="preserve">—</t>
  </si>
  <si>
    <t xml:space="preserve">Generate baseline using the verified masks</t>
  </si>
  <si>
    <t xml:space="preserve">CG-SENSE</t>
  </si>
  <si>
    <t xml:space="preserve">Temporal-TV SENSE</t>
  </si>
  <si>
    <t xml:space="preserve">NV-Raw2Insights Base</t>
  </si>
  <si>
    <t xml:space="preserve">10/10 complete</t>
  </si>
  <si>
    <t xml:space="preserve">Pending</t>
  </si>
  <si>
    <t xml:space="preserve">output/h5_converted</t>
  </si>
  <si>
    <t xml:space="preserve">Run unified PSNR/SSIM/NMSE evaluation</t>
  </si>
  <si>
    <t xml:space="preserve">output/h5_converted_acc16</t>
  </si>
  <si>
    <t xml:space="preserve">output/h5_converted_acc24</t>
  </si>
  <si>
    <t xml:space="preserve">Historical forced-ACS reference — do not merge with the primary leaderboard</t>
  </si>
  <si>
    <t xml:space="preserve">Protocol</t>
  </si>
  <si>
    <t xml:space="preserve">PSNR mean</t>
  </si>
  <si>
    <t xml:space="preserve">SSIM mean</t>
  </si>
  <si>
    <t xml:space="preserve">NRMSE mean</t>
  </si>
  <si>
    <t xml:space="preserve">NMSE mean</t>
  </si>
  <si>
    <t xml:space="preserve">Effective R</t>
  </si>
  <si>
    <t xml:space="preserve">Output</t>
  </si>
  <si>
    <t xml:space="preserve">Caveat</t>
  </si>
  <si>
    <t xml:space="preserve">NV Base; internal maps; 20 forced ACS lines</t>
  </si>
  <si>
    <t xml:space="preserve">Metrics complete</t>
  </si>
  <si>
    <t xml:space="preserve">output/CINE_test_acc8</t>
  </si>
  <si>
    <t xml:space="preserve">acc8 timing was a resumed run</t>
  </si>
  <si>
    <t xml:space="preserve">output/CINE_test_acc16</t>
  </si>
  <si>
    <t xml:space="preserve">Nominal label is not measured physical acceleration</t>
  </si>
  <si>
    <t xml:space="preserve">output/CINE_test_acc24</t>
  </si>
  <si>
    <t xml:space="preserve">Inference/metrics not fully documented</t>
  </si>
  <si>
    <t xml:space="preserve">RAM MRI Results</t>
  </si>
  <si>
    <t xml:space="preserve">Consolidated RAM experiments, author comparison, and checkpoint positive control. These runs are diagnostic and are not the primary CINE benchmark.</t>
  </si>
  <si>
    <t xml:space="preserve">Our RAM experiments</t>
  </si>
  <si>
    <t xml:space="preserve">Dataset / setup</t>
  </si>
  <si>
    <t xml:space="preserve">Delta SSIM</t>
  </si>
  <si>
    <t xml:space="preserve">Interpretation</t>
  </si>
  <si>
    <t xml:space="preserve">Knee single-coil</t>
  </si>
  <si>
    <t xml:space="preserve">fastMRI knee, slices 16–18, x8 equispaced</t>
  </si>
  <si>
    <t xml:space="preserve">Diagnostic reproduction</t>
  </si>
  <si>
    <t xml:space="preserve">Brain first VCC smoke</t>
  </si>
  <si>
    <t xml:space="preserve">AXFLAIR ACL15, slices 7–9, x8 equispaced</t>
  </si>
  <si>
    <t xml:space="preserve">VCC equivalence not established</t>
  </si>
  <si>
    <t xml:space="preserve">Brain best sweep</t>
  </si>
  <si>
    <t xml:space="preserve">AXFLAIR ACL15, x8 random, divisor 0.0002, sigma 0.0005</t>
  </si>
  <si>
    <t xml:space="preserve">Best tested RAM setting</t>
  </si>
  <si>
    <t xml:space="preserve">Brain crop-before-physics</t>
  </si>
  <si>
    <t xml:space="preserve">Complex crop to 320x320 before MRI</t>
  </si>
  <si>
    <t xml:space="preserve">Negligible PSNR change</t>
  </si>
  <si>
    <t xml:space="preserve">Author benchmark comparison</t>
  </si>
  <si>
    <t xml:space="preserve">Result</t>
  </si>
  <si>
    <t xml:space="preserve">MRI x4 PSNR</t>
  </si>
  <si>
    <t xml:space="preserve">MRI x4 SSIM</t>
  </si>
  <si>
    <t xml:space="preserve">MRI x8 PSNR</t>
  </si>
  <si>
    <t xml:space="preserve">MRI x8 SSIM</t>
  </si>
  <si>
    <t xml:space="preserve">Scope</t>
  </si>
  <si>
    <t xml:space="preserve">Author PDNet</t>
  </si>
  <si>
    <t xml:space="preserve">Paper benchmark</t>
  </si>
  <si>
    <t xml:space="preserve">Different dataset/protocol</t>
  </si>
  <si>
    <t xml:space="preserve">Author DPIR</t>
  </si>
  <si>
    <t xml:space="preserve">Author uDPIR-u</t>
  </si>
  <si>
    <t xml:space="preserve">Author uDPIR-t</t>
  </si>
  <si>
    <t xml:space="preserve">Author RAM</t>
  </si>
  <si>
    <t xml:space="preserve">21,842 validation slices</t>
  </si>
  <si>
    <t xml:space="preserve">Our best RAM</t>
  </si>
  <si>
    <t xml:space="preserve">One volume; slices 7–9</t>
  </si>
  <si>
    <t xml:space="preserve">Not directly comparable to author result</t>
  </si>
  <si>
    <t xml:space="preserve">Our zero-filled</t>
  </si>
  <si>
    <t xml:space="preserve">Same three slices</t>
  </si>
  <si>
    <t xml:space="preserve">Reference for our best RAM</t>
  </si>
  <si>
    <t xml:space="preserve">Our RAM minus zero-filled</t>
  </si>
  <si>
    <t xml:space="preserve">Paired diagnostic</t>
  </si>
  <si>
    <t xml:space="preserve">PSNR improves slightly; SSIM worsens</t>
  </si>
  <si>
    <t xml:space="preserve">Measurement PSNR</t>
  </si>
  <si>
    <t xml:space="preserve">The official inpainting demo succeeded with the same checkpoint. The weak MRI reproduction is therefore more consistent with protocol, VCC, normalization, or forward-model mismatch than with a broken checkpoint.</t>
  </si>
  <si>
    <t xml:space="preserve">RAM PSNR</t>
  </si>
  <si>
    <t xml:space="preserve">Improvement</t>
  </si>
  <si>
    <t xml:space="preserve">Benchmark Notes and Audit</t>
  </si>
  <si>
    <t xml:space="preserve">Supporting evidence only. The main experiment status is intentionally kept on Summary and NV Benchmark.</t>
  </si>
  <si>
    <t xml:space="preserve">Per-case raw-mask sampling audit — verified on node-gpu-03, 2026-07-30</t>
  </si>
  <si>
    <t xml:space="preserve">Case</t>
  </si>
  <si>
    <t xml:space="preserve">PE</t>
  </si>
  <si>
    <t xml:space="preserve">Mean sampled PE lines/frame</t>
  </si>
  <si>
    <t xml:space="preserve">Central 20 fully filled?</t>
  </si>
  <si>
    <t xml:space="preserve">Output exists?</t>
  </si>
  <si>
    <t xml:space="preserve">Sub0014</t>
  </si>
  <si>
    <t xml:space="preserve">No</t>
  </si>
  <si>
    <t xml:space="preserve">Yes</t>
  </si>
  <si>
    <t xml:space="preserve">Sub0026</t>
  </si>
  <si>
    <t xml:space="preserve">Sub0030</t>
  </si>
  <si>
    <t xml:space="preserve">Sub0047</t>
  </si>
  <si>
    <t xml:space="preserve">Sub0049</t>
  </si>
  <si>
    <t xml:space="preserve">Sub0051</t>
  </si>
  <si>
    <t xml:space="preserve">Sub0096</t>
  </si>
  <si>
    <t xml:space="preserve">Sub0105</t>
  </si>
  <si>
    <t xml:space="preserve">Sub0112</t>
  </si>
  <si>
    <t xml:space="preserve">Sub0122</t>
  </si>
  <si>
    <t xml:space="preserve">Metric definitions</t>
  </si>
  <si>
    <t xml:space="preserve">Metric</t>
  </si>
  <si>
    <t xml:space="preserve">Definition</t>
  </si>
  <si>
    <t xml:space="preserve">Aggregation</t>
  </si>
  <si>
    <t xml:space="preserve">Direction</t>
  </si>
  <si>
    <t xml:space="preserve">Primary?</t>
  </si>
  <si>
    <t xml:space="preserve">Scaling rule</t>
  </si>
  <si>
    <t xml:space="preserve">Current status</t>
  </si>
  <si>
    <t xml:space="preserve">Note</t>
  </si>
  <si>
    <t xml:space="preserve">20 log10(GT range / RMSE)</t>
  </si>
  <si>
    <t xml:space="preserve">Frame → subject mean → cohort mean + 95% CI</t>
  </si>
  <si>
    <t xml:space="preserve">Higher</t>
  </si>
  <si>
    <t xml:space="preserve">One GT-derived case scale for every method</t>
  </si>
  <si>
    <t xml:space="preserve">Available in existing evaluator</t>
  </si>
  <si>
    <t xml:space="preserve">Do not independently normalize methods</t>
  </si>
  <si>
    <t xml:space="preserve">2D structural similarity</t>
  </si>
  <si>
    <t xml:space="preserve">Same GT-derived scale</t>
  </si>
  <si>
    <t xml:space="preserve">Needs consistent implementation</t>
  </si>
  <si>
    <t xml:space="preserve">Named primary metric but absent from one evaluator</t>
  </si>
  <si>
    <t xml:space="preserve">sum(error²) / sum(GT²)</t>
  </si>
  <si>
    <t xml:space="preserve">Lower</t>
  </si>
  <si>
    <t xml:space="preserve">Available</t>
  </si>
  <si>
    <t xml:space="preserve">Primary normalized error</t>
  </si>
  <si>
    <t xml:space="preserve">NRMSE</t>
  </si>
  <si>
    <t xml:space="preserve">sqrt(NMSE)</t>
  </si>
  <si>
    <t xml:space="preserve">Secondary</t>
  </si>
  <si>
    <t xml:space="preserve">Optional</t>
  </si>
  <si>
    <t xml:space="preserve">Redundant if NMSE is already reported</t>
  </si>
  <si>
    <t xml:space="preserve">PE / mean sampled PE lines per frame</t>
  </si>
  <si>
    <t xml:space="preserve">Per case; mean by nominal label</t>
  </si>
  <si>
    <t xml:space="preserve">Context</t>
  </si>
  <si>
    <t xml:space="preserve">Not applicable</t>
  </si>
  <si>
    <t xml:space="preserve">Verified</t>
  </si>
  <si>
    <t xml:space="preserve">Nominal label and physical acceleration are distinct</t>
  </si>
  <si>
    <t xml:space="preserve">Sources and protocol decisions</t>
  </si>
  <si>
    <t xml:space="preserve">Source</t>
  </si>
  <si>
    <t xml:space="preserve">Date</t>
  </si>
  <si>
    <t xml:space="preserve">Used for</t>
  </si>
  <si>
    <t xml:space="preserve">Key finding</t>
  </si>
  <si>
    <t xml:space="preserve">Limitation</t>
  </si>
  <si>
    <t xml:space="preserve">Path</t>
  </si>
  <si>
    <t xml:space="preserve">Owner</t>
  </si>
  <si>
    <t xml:space="preserve">Original Benchmark_v1</t>
  </si>
  <si>
    <t xml:space="preserve">2026-07-23</t>
  </si>
  <si>
    <t xml:space="preserve">EXP001–EXP008 and RAM records</t>
  </si>
  <si>
    <t xml:space="preserve">Eight historical experiment IDs</t>
  </si>
  <si>
    <t xml:space="preserve">Mixed planning and result notes</t>
  </si>
  <si>
    <t xml:space="preserve">docs/BV.xlsx</t>
  </si>
  <si>
    <t xml:space="preserve">Project</t>
  </si>
  <si>
    <t xml:space="preserve">Retained</t>
  </si>
  <si>
    <t xml:space="preserve">node-gpu-03 audit</t>
  </si>
  <si>
    <t xml:space="preserve">2026-07-30</t>
  </si>
  <si>
    <t xml:space="preserve">No-ACS acc8/16/24 completion and effective R</t>
  </si>
  <si>
    <t xml:space="preserve">10/10 finite outputs per rate; no forced central 20</t>
  </si>
  <si>
    <t xml:space="preserve">Metric CSVs not found</t>
  </si>
  <si>
    <t xml:space="preserve">dataset/h5_converted*; output/h5_converted*</t>
  </si>
  <si>
    <t xml:space="preserve">CINE benchmark report</t>
  </si>
  <si>
    <t xml:space="preserve">2026-07-12</t>
  </si>
  <si>
    <t xml:space="preserve">Forced-ACS metrics</t>
  </si>
  <si>
    <t xml:space="preserve">acc8/acc16 quality recorded</t>
  </si>
  <si>
    <t xml:space="preserve">acc24 pending</t>
  </si>
  <si>
    <t xml:space="preserve">docs/CINE_benchmark_report.md</t>
  </si>
  <si>
    <t xml:space="preserve">Historical</t>
  </si>
  <si>
    <t xml:space="preserve">No-ACS acc8 run log</t>
  </si>
  <si>
    <t xml:space="preserve">2026-07-14–15</t>
  </si>
  <si>
    <t xml:space="preserve">External dMap implementation evidence</t>
  </si>
  <si>
    <t xml:space="preserve">Completed documented acc8 run</t>
  </si>
  <si>
    <t xml:space="preserve">Does not document later acc16/24 runs</t>
  </si>
  <si>
    <t xml:space="preserve">docs/history/2026-07-14-h5-dmap-noacs-acc8-inference.md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</si>
</sst>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\x"/>
    <numFmt numFmtId="166" formatCode="0.000"/>
    <numFmt numFmtId="167" formatCode="0.0000"/>
    <numFmt numFmtId="168" formatCode="0.00000"/>
    <numFmt numFmtId="169" formatCode="\+0.00000;\-0.00000;0.0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1"/>
      <color rgb="FF17365D"/>
      <name val="Arial"/>
      <family val="0"/>
      <charset val="1"/>
    </font>
    <font>
      <b val="true"/>
      <sz val="18"/>
      <color rgb="FF4472C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4472C4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D9EAF7"/>
        <bgColor rgb="FFE2F0D9"/>
      </patternFill>
    </fill>
    <fill>
      <patternFill patternType="solid">
        <fgColor rgb="FF4472C4"/>
        <bgColor rgb="FF4F81BD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4472C4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>
          <bgColor rgb="FFE2F0D9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7" type="wholeTable"/>
      <tableStyleElement dxfId="8" type="firstColumnStripe"/>
      <tableStyleElement dxfId="9" type="firstRowStripe"/>
      <tableStyleElement dxfId="10" type="lastColumn"/>
      <tableStyleElement dxfId="11" type="firstColumn"/>
      <tableStyleElement dxfId="12" type="headerRow"/>
      <tableStyleElement dxfId="13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3F4F6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5B3D7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xperimentRegister" displayName="ExperimentRegister" ref="A8:G16" headerRowCount="1" totalsRowCount="0" totalsRowShown="0">
  <autoFilter ref="A8:G16"/>
  <tableColumns count="7">
    <tableColumn id="1" name="Experiment"/>
    <tableColumn id="2" name="Model"/>
    <tableColumn id="3" name="Dataset"/>
    <tableColumn id="4" name="Protocol / purpose"/>
    <tableColumn id="5" name="Status"/>
    <tableColumn id="6" name="Evidence"/>
    <tableColumn id="7" name="Next 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ricDefinitionsV3" displayName="MetricDefinitionsV3" ref="A38:H43" headerRowCount="1" totalsRowCount="0" totalsRowShown="0">
  <autoFilter ref="A38:H43"/>
  <tableColumns count="8">
    <tableColumn id="1" name="Metric"/>
    <tableColumn id="2" name="Definition"/>
    <tableColumn id="3" name="Aggregation"/>
    <tableColumn id="4" name="Direction"/>
    <tableColumn id="5" name="Primary?"/>
    <tableColumn id="6" name="Scaling rule"/>
    <tableColumn id="7" name="Current status"/>
    <tableColumn id="8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NVForcedACSReference" displayName="NVForcedACSReference" ref="A23:K26" headerRowCount="1" totalsRowCount="0" totalsRowShown="0">
  <autoFilter ref="A23:K26"/>
  <tableColumns count="11">
    <tableColumn id="1" name="Protocol"/>
    <tableColumn id="2" name="Nominal label"/>
    <tableColumn id="3" name="Cases"/>
    <tableColumn id="4" name="PSNR mean"/>
    <tableColumn id="5" name="SSIM mean"/>
    <tableColumn id="6" name="NRMSE mean"/>
    <tableColumn id="7" name="NMSE mean"/>
    <tableColumn id="8" name="Status"/>
    <tableColumn id="9" name="Effective R"/>
    <tableColumn id="10" name="Output"/>
    <tableColumn id="11" name="Cave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NVPrimaryMatrix" displayName="NVPrimaryMatrix" ref="A7:K19" headerRowCount="1" totalsRowCount="0" totalsRowShown="0">
  <autoFilter ref="A7:K19"/>
  <tableColumns count="11">
    <tableColumn id="1" name="Method"/>
    <tableColumn id="2" name="Nominal label"/>
    <tableColumn id="3" name="Mean effective R"/>
    <tableColumn id="4" name="Cases"/>
    <tableColumn id="5" name="Reconstruction status"/>
    <tableColumn id="6" name="Metrics status"/>
    <tableColumn id="7" name="PSNR"/>
    <tableColumn id="8" name="SSIM"/>
    <tableColumn id="9" name="NMSE"/>
    <tableColumn id="10" name="Output / evidence"/>
    <tableColumn id="11" name="Next 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AMAuthorComparison" displayName="RAMAuthorComparison" ref="A13:H21" headerRowCount="1" totalsRowCount="0" totalsRowShown="0">
  <autoFilter ref="A13:H21"/>
  <tableColumns count="8">
    <tableColumn id="1" name="Result"/>
    <tableColumn id="2" name="MRI x4 PSNR"/>
    <tableColumn id="3" name="MRI x4 SSIM"/>
    <tableColumn id="4" name="MRI x8 PSNR"/>
    <tableColumn id="5" name="MRI x8 SSIM"/>
    <tableColumn id="6" name="NMSE"/>
    <tableColumn id="7" name="Scope"/>
    <tableColumn id="8" name="Cavea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AMExperiments" displayName="RAMExperiments" ref="A5:H9" headerRowCount="1" totalsRowCount="0" totalsRowShown="0">
  <autoFilter ref="A5:H9"/>
  <tableColumns count="8">
    <tableColumn id="1" name="Experiment"/>
    <tableColumn id="2" name="Dataset / setup"/>
    <tableColumn id="3" name="PSNR"/>
    <tableColumn id="4" name="NMSE"/>
    <tableColumn id="5" name="SSIM"/>
    <tableColumn id="6" name="Delta SSIM"/>
    <tableColumn id="7" name="Status"/>
    <tableColumn id="8" name="Interpret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amplingAuditV3" displayName="SamplingAuditV3" ref="A4:H34" headerRowCount="1" totalsRowCount="0" totalsRowShown="0">
  <autoFilter ref="A4:H34"/>
  <tableColumns count="8">
    <tableColumn id="1" name="Case"/>
    <tableColumn id="2" name="Nominal label"/>
    <tableColumn id="3" name="PE"/>
    <tableColumn id="4" name="Mean sampled PE lines/frame"/>
    <tableColumn id="5" name="Effective R"/>
    <tableColumn id="6" name="Central 20 fully filled?"/>
    <tableColumn id="7" name="Output exists?"/>
    <tableColumn id="8" name="Ev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rcesV3" displayName="SourcesV3" ref="A47:H51" headerRowCount="1" totalsRowCount="0" totalsRowShown="0">
  <autoFilter ref="A47:H51"/>
  <tableColumns count="8">
    <tableColumn id="1" name="Source"/>
    <tableColumn id="2" name="Date"/>
    <tableColumn id="3" name="Used for"/>
    <tableColumn id="4" name="Key finding"/>
    <tableColumn id="5" name="Limitation"/>
    <tableColumn id="6" name="Path"/>
    <tableColumn id="7" name="Owner"/>
    <tableColumn id="8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7.xml"/><Relationship Id="rId3" Type="http://schemas.openxmlformats.org/officeDocument/2006/relationships/table" Target="../tables/table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27"/>
    <col collapsed="false" customWidth="true" hidden="false" outlineLevel="0" max="4" min="4" style="0" width="38"/>
    <col collapsed="false" customWidth="true" hidden="false" outlineLevel="0" max="5" min="5" style="0" width="31"/>
    <col collapsed="false" customWidth="true" hidden="false" outlineLevel="0" max="6" min="6" style="0" width="38"/>
    <col collapsed="false" customWidth="true" hidden="false" outlineLevel="0" max="7" min="7" style="0" width="3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C4" s="3" t="s">
        <v>3</v>
      </c>
      <c r="E4" s="3" t="s">
        <v>4</v>
      </c>
      <c r="G4" s="3" t="s">
        <v>5</v>
      </c>
    </row>
    <row r="5" customFormat="false" ht="22.05" hidden="false" customHeight="false" outlineLevel="0" collapsed="false">
      <c r="A5" s="4" t="n">
        <v>8</v>
      </c>
      <c r="C5" s="4" t="n">
        <v>12</v>
      </c>
      <c r="E5" s="4" t="n">
        <v>3</v>
      </c>
      <c r="G5" s="4" t="n">
        <v>0</v>
      </c>
    </row>
    <row r="7" customFormat="false" ht="22.5" hidden="false" customHeight="true" outlineLevel="0" collapsed="false">
      <c r="A7" s="5" t="s">
        <v>6</v>
      </c>
      <c r="B7" s="5"/>
      <c r="C7" s="5"/>
      <c r="D7" s="5"/>
      <c r="E7" s="5"/>
      <c r="F7" s="5"/>
      <c r="G7" s="5"/>
    </row>
    <row r="8" customFormat="false" ht="31.5" hidden="false" customHeight="true" outlineLevel="0" collapsed="false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</row>
    <row r="9" customFormat="false" ht="23.85" hidden="false" customHeight="false" outlineLevel="0" collapsed="false">
      <c r="A9" s="7" t="s">
        <v>14</v>
      </c>
      <c r="B9" s="7" t="s">
        <v>15</v>
      </c>
      <c r="C9" s="7" t="s">
        <v>16</v>
      </c>
      <c r="D9" s="7" t="s">
        <v>17</v>
      </c>
      <c r="E9" s="7" t="s">
        <v>18</v>
      </c>
      <c r="F9" s="7" t="s">
        <v>19</v>
      </c>
      <c r="G9" s="7" t="s">
        <v>20</v>
      </c>
    </row>
    <row r="10" customFormat="false" ht="23.85" hidden="false" customHeight="false" outlineLevel="0" collapsed="false">
      <c r="A10" s="8" t="s">
        <v>21</v>
      </c>
      <c r="B10" s="8" t="s">
        <v>15</v>
      </c>
      <c r="C10" s="8" t="s">
        <v>16</v>
      </c>
      <c r="D10" s="8" t="s">
        <v>22</v>
      </c>
      <c r="E10" s="8" t="s">
        <v>23</v>
      </c>
      <c r="F10" s="8" t="s">
        <v>24</v>
      </c>
      <c r="G10" s="8" t="s">
        <v>25</v>
      </c>
    </row>
    <row r="11" customFormat="false" ht="15" hidden="false" customHeight="false" outlineLevel="0" collapsed="false">
      <c r="A11" s="7" t="s">
        <v>26</v>
      </c>
      <c r="B11" s="7" t="s">
        <v>15</v>
      </c>
      <c r="C11" s="7" t="s">
        <v>27</v>
      </c>
      <c r="D11" s="7" t="s">
        <v>28</v>
      </c>
      <c r="E11" s="7" t="s">
        <v>29</v>
      </c>
      <c r="F11" s="7" t="s">
        <v>30</v>
      </c>
      <c r="G11" s="7" t="s">
        <v>31</v>
      </c>
    </row>
    <row r="12" customFormat="false" ht="15" hidden="false" customHeight="false" outlineLevel="0" collapsed="false">
      <c r="A12" s="8" t="s">
        <v>32</v>
      </c>
      <c r="B12" s="8" t="s">
        <v>33</v>
      </c>
      <c r="C12" s="8" t="s">
        <v>34</v>
      </c>
      <c r="D12" s="8" t="s">
        <v>35</v>
      </c>
      <c r="E12" s="8" t="s">
        <v>36</v>
      </c>
      <c r="F12" s="8" t="s">
        <v>37</v>
      </c>
      <c r="G12" s="8" t="s">
        <v>38</v>
      </c>
    </row>
    <row r="13" customFormat="false" ht="15" hidden="false" customHeight="false" outlineLevel="0" collapsed="false">
      <c r="A13" s="7" t="s">
        <v>39</v>
      </c>
      <c r="B13" s="7" t="s">
        <v>33</v>
      </c>
      <c r="C13" s="7" t="s">
        <v>40</v>
      </c>
      <c r="D13" s="7" t="s">
        <v>41</v>
      </c>
      <c r="E13" s="7" t="s">
        <v>36</v>
      </c>
      <c r="F13" s="7" t="s">
        <v>42</v>
      </c>
      <c r="G13" s="7" t="s">
        <v>43</v>
      </c>
    </row>
    <row r="14" customFormat="false" ht="15" hidden="false" customHeight="false" outlineLevel="0" collapsed="false">
      <c r="A14" s="8" t="s">
        <v>44</v>
      </c>
      <c r="B14" s="8" t="s">
        <v>33</v>
      </c>
      <c r="C14" s="8" t="s">
        <v>45</v>
      </c>
      <c r="D14" s="8" t="s">
        <v>46</v>
      </c>
      <c r="E14" s="8" t="s">
        <v>36</v>
      </c>
      <c r="F14" s="8" t="s">
        <v>42</v>
      </c>
      <c r="G14" s="8" t="s">
        <v>47</v>
      </c>
    </row>
    <row r="15" customFormat="false" ht="15" hidden="false" customHeight="false" outlineLevel="0" collapsed="false">
      <c r="A15" s="7" t="s">
        <v>48</v>
      </c>
      <c r="B15" s="7" t="s">
        <v>33</v>
      </c>
      <c r="C15" s="7" t="s">
        <v>45</v>
      </c>
      <c r="D15" s="7" t="s">
        <v>49</v>
      </c>
      <c r="E15" s="7" t="s">
        <v>36</v>
      </c>
      <c r="F15" s="7" t="s">
        <v>42</v>
      </c>
      <c r="G15" s="7" t="s">
        <v>50</v>
      </c>
    </row>
    <row r="16" customFormat="false" ht="15" hidden="false" customHeight="false" outlineLevel="0" collapsed="false">
      <c r="A16" s="8" t="s">
        <v>51</v>
      </c>
      <c r="B16" s="8" t="s">
        <v>33</v>
      </c>
      <c r="C16" s="8" t="s">
        <v>45</v>
      </c>
      <c r="D16" s="8" t="s">
        <v>52</v>
      </c>
      <c r="E16" s="8" t="s">
        <v>36</v>
      </c>
      <c r="F16" s="8" t="s">
        <v>42</v>
      </c>
      <c r="G16" s="8" t="s">
        <v>53</v>
      </c>
    </row>
    <row r="19" customFormat="false" ht="22.5" hidden="false" customHeight="true" outlineLevel="0" collapsed="false">
      <c r="A19" s="5" t="s">
        <v>54</v>
      </c>
      <c r="B19" s="5"/>
      <c r="C19" s="5"/>
      <c r="D19" s="5"/>
      <c r="E19" s="5"/>
      <c r="F19" s="5"/>
      <c r="G19" s="5"/>
    </row>
    <row r="20" customFormat="false" ht="25.5" hidden="false" customHeight="true" outlineLevel="0" collapsed="false">
      <c r="A20" s="9" t="s">
        <v>55</v>
      </c>
      <c r="B20" s="9"/>
      <c r="C20" s="9"/>
      <c r="D20" s="9"/>
      <c r="E20" s="9"/>
      <c r="F20" s="9"/>
      <c r="G20" s="9"/>
    </row>
    <row r="21" customFormat="false" ht="25.5" hidden="false" customHeight="true" outlineLevel="0" collapsed="false">
      <c r="A21" s="9" t="s">
        <v>56</v>
      </c>
      <c r="B21" s="9"/>
      <c r="C21" s="9"/>
      <c r="D21" s="9"/>
      <c r="E21" s="9"/>
      <c r="F21" s="9"/>
      <c r="G21" s="9"/>
    </row>
    <row r="22" customFormat="false" ht="25.5" hidden="false" customHeight="true" outlineLevel="0" collapsed="false">
      <c r="A22" s="9" t="s">
        <v>57</v>
      </c>
      <c r="B22" s="9"/>
      <c r="C22" s="9"/>
      <c r="D22" s="9"/>
      <c r="E22" s="9"/>
      <c r="F22" s="9"/>
      <c r="G22" s="9"/>
    </row>
    <row r="23" customFormat="false" ht="25.5" hidden="false" customHeight="true" outlineLevel="0" collapsed="false">
      <c r="A23" s="9" t="s">
        <v>58</v>
      </c>
      <c r="B23" s="9"/>
      <c r="C23" s="9"/>
      <c r="D23" s="9"/>
      <c r="E23" s="9"/>
      <c r="F23" s="9"/>
      <c r="G23" s="9"/>
    </row>
  </sheetData>
  <mergeCells count="8">
    <mergeCell ref="A1:G1"/>
    <mergeCell ref="A2:G2"/>
    <mergeCell ref="A7:G7"/>
    <mergeCell ref="A19:G19"/>
    <mergeCell ref="A20:G20"/>
    <mergeCell ref="A21:G21"/>
    <mergeCell ref="A22:G22"/>
    <mergeCell ref="A23:G23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benchmark_v3</oddHeader>
    <oddFooter>&amp;RPage &amp;P of &amp;N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5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31"/>
    <col collapsed="false" customWidth="true" hidden="false" outlineLevel="0" max="11" min="11" style="0" width="42"/>
  </cols>
  <sheetData>
    <row r="1" customFormat="false" ht="30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1.5" hidden="false" customHeight="true" outlineLevel="0" collapsed="false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8.55" hidden="false" customHeight="false" outlineLevel="0" collapsed="false">
      <c r="A4" s="3" t="s">
        <v>61</v>
      </c>
      <c r="B4" s="10" t="n">
        <f aca="false">COUNTIF(E8:E19,"10/10 complete")</f>
        <v>3</v>
      </c>
      <c r="D4" s="3" t="s">
        <v>62</v>
      </c>
      <c r="E4" s="10" t="n">
        <f aca="false">COUNTIF(F8:F19,"Complete")</f>
        <v>0</v>
      </c>
      <c r="G4" s="3" t="s">
        <v>63</v>
      </c>
      <c r="H4" s="10" t="n">
        <f aca="false">ROWS(A8:A19)</f>
        <v>12</v>
      </c>
    </row>
    <row r="6" customFormat="false" ht="22.5" hidden="false" customHeight="true" outlineLevel="0" collapsed="false">
      <c r="A6" s="5" t="s">
        <v>64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customFormat="false" ht="31.5" hidden="false" customHeight="true" outlineLevel="0" collapsed="false">
      <c r="A7" s="6" t="s">
        <v>65</v>
      </c>
      <c r="B7" s="6" t="s">
        <v>66</v>
      </c>
      <c r="C7" s="6" t="s">
        <v>67</v>
      </c>
      <c r="D7" s="6" t="s">
        <v>68</v>
      </c>
      <c r="E7" s="6" t="s">
        <v>69</v>
      </c>
      <c r="F7" s="6" t="s">
        <v>70</v>
      </c>
      <c r="G7" s="6" t="s">
        <v>71</v>
      </c>
      <c r="H7" s="6" t="s">
        <v>72</v>
      </c>
      <c r="I7" s="6" t="s">
        <v>73</v>
      </c>
      <c r="J7" s="6" t="s">
        <v>74</v>
      </c>
      <c r="K7" s="6" t="s">
        <v>13</v>
      </c>
    </row>
    <row r="8" customFormat="false" ht="15" hidden="false" customHeight="false" outlineLevel="0" collapsed="false">
      <c r="A8" s="8" t="s">
        <v>75</v>
      </c>
      <c r="B8" s="8" t="n">
        <v>8</v>
      </c>
      <c r="C8" s="11" t="n">
        <f aca="false">IFERROR(AVERAGEIF(Notes!$B$5:$B$34,B8,Notes!$E$5:$E$34),"")</f>
        <v>7.90909090909091</v>
      </c>
      <c r="D8" s="8" t="n">
        <v>10</v>
      </c>
      <c r="E8" s="8" t="s">
        <v>76</v>
      </c>
      <c r="F8" s="8" t="s">
        <v>76</v>
      </c>
      <c r="G8" s="12"/>
      <c r="H8" s="12"/>
      <c r="I8" s="12"/>
      <c r="J8" s="8" t="s">
        <v>77</v>
      </c>
      <c r="K8" s="8" t="s">
        <v>78</v>
      </c>
    </row>
    <row r="9" customFormat="false" ht="15" hidden="false" customHeight="false" outlineLevel="0" collapsed="false">
      <c r="A9" s="7" t="s">
        <v>75</v>
      </c>
      <c r="B9" s="7" t="n">
        <v>16</v>
      </c>
      <c r="C9" s="13" t="n">
        <f aca="false">IFERROR(AVERAGEIF(Notes!$B$5:$B$34,B9,Notes!$E$5:$E$34),"")</f>
        <v>15.8181818181818</v>
      </c>
      <c r="D9" s="7" t="n">
        <v>10</v>
      </c>
      <c r="E9" s="7" t="s">
        <v>76</v>
      </c>
      <c r="F9" s="7" t="s">
        <v>76</v>
      </c>
      <c r="G9" s="14"/>
      <c r="H9" s="14"/>
      <c r="I9" s="14"/>
      <c r="J9" s="7" t="s">
        <v>77</v>
      </c>
      <c r="K9" s="7" t="s">
        <v>78</v>
      </c>
    </row>
    <row r="10" customFormat="false" ht="15" hidden="false" customHeight="false" outlineLevel="0" collapsed="false">
      <c r="A10" s="8" t="s">
        <v>75</v>
      </c>
      <c r="B10" s="8" t="n">
        <v>24</v>
      </c>
      <c r="C10" s="11" t="n">
        <f aca="false">IFERROR(AVERAGEIF(Notes!$B$5:$B$34,B10,Notes!$E$5:$E$34),"")</f>
        <v>24.9642857142857</v>
      </c>
      <c r="D10" s="8" t="n">
        <v>10</v>
      </c>
      <c r="E10" s="8" t="s">
        <v>76</v>
      </c>
      <c r="F10" s="8" t="s">
        <v>76</v>
      </c>
      <c r="G10" s="12"/>
      <c r="H10" s="12"/>
      <c r="I10" s="12"/>
      <c r="J10" s="8" t="s">
        <v>77</v>
      </c>
      <c r="K10" s="8" t="s">
        <v>78</v>
      </c>
    </row>
    <row r="11" customFormat="false" ht="15" hidden="false" customHeight="false" outlineLevel="0" collapsed="false">
      <c r="A11" s="7" t="s">
        <v>79</v>
      </c>
      <c r="B11" s="7" t="n">
        <v>8</v>
      </c>
      <c r="C11" s="13" t="n">
        <f aca="false">IFERROR(AVERAGEIF(Notes!$B$5:$B$34,B11,Notes!$E$5:$E$34),"")</f>
        <v>7.90909090909091</v>
      </c>
      <c r="D11" s="7" t="n">
        <v>10</v>
      </c>
      <c r="E11" s="7" t="s">
        <v>76</v>
      </c>
      <c r="F11" s="7" t="s">
        <v>76</v>
      </c>
      <c r="G11" s="14"/>
      <c r="H11" s="14"/>
      <c r="I11" s="14"/>
      <c r="J11" s="7" t="s">
        <v>77</v>
      </c>
      <c r="K11" s="7" t="s">
        <v>78</v>
      </c>
    </row>
    <row r="12" customFormat="false" ht="15" hidden="false" customHeight="false" outlineLevel="0" collapsed="false">
      <c r="A12" s="8" t="s">
        <v>79</v>
      </c>
      <c r="B12" s="8" t="n">
        <v>16</v>
      </c>
      <c r="C12" s="11" t="n">
        <f aca="false">IFERROR(AVERAGEIF(Notes!$B$5:$B$34,B12,Notes!$E$5:$E$34),"")</f>
        <v>15.8181818181818</v>
      </c>
      <c r="D12" s="8" t="n">
        <v>10</v>
      </c>
      <c r="E12" s="8" t="s">
        <v>76</v>
      </c>
      <c r="F12" s="8" t="s">
        <v>76</v>
      </c>
      <c r="G12" s="12"/>
      <c r="H12" s="12"/>
      <c r="I12" s="12"/>
      <c r="J12" s="8" t="s">
        <v>77</v>
      </c>
      <c r="K12" s="8" t="s">
        <v>78</v>
      </c>
    </row>
    <row r="13" customFormat="false" ht="15" hidden="false" customHeight="false" outlineLevel="0" collapsed="false">
      <c r="A13" s="7" t="s">
        <v>79</v>
      </c>
      <c r="B13" s="7" t="n">
        <v>24</v>
      </c>
      <c r="C13" s="13" t="n">
        <f aca="false">IFERROR(AVERAGEIF(Notes!$B$5:$B$34,B13,Notes!$E$5:$E$34),"")</f>
        <v>24.9642857142857</v>
      </c>
      <c r="D13" s="7" t="n">
        <v>10</v>
      </c>
      <c r="E13" s="7" t="s">
        <v>76</v>
      </c>
      <c r="F13" s="7" t="s">
        <v>76</v>
      </c>
      <c r="G13" s="14"/>
      <c r="H13" s="14"/>
      <c r="I13" s="14"/>
      <c r="J13" s="7" t="s">
        <v>77</v>
      </c>
      <c r="K13" s="7" t="s">
        <v>78</v>
      </c>
    </row>
    <row r="14" customFormat="false" ht="15" hidden="false" customHeight="false" outlineLevel="0" collapsed="false">
      <c r="A14" s="8" t="s">
        <v>80</v>
      </c>
      <c r="B14" s="8" t="n">
        <v>8</v>
      </c>
      <c r="C14" s="11" t="n">
        <f aca="false">IFERROR(AVERAGEIF(Notes!$B$5:$B$34,B14,Notes!$E$5:$E$34),"")</f>
        <v>7.90909090909091</v>
      </c>
      <c r="D14" s="8" t="n">
        <v>10</v>
      </c>
      <c r="E14" s="8" t="s">
        <v>76</v>
      </c>
      <c r="F14" s="8" t="s">
        <v>76</v>
      </c>
      <c r="G14" s="12"/>
      <c r="H14" s="12"/>
      <c r="I14" s="12"/>
      <c r="J14" s="8" t="s">
        <v>77</v>
      </c>
      <c r="K14" s="8" t="s">
        <v>78</v>
      </c>
    </row>
    <row r="15" customFormat="false" ht="15" hidden="false" customHeight="false" outlineLevel="0" collapsed="false">
      <c r="A15" s="7" t="s">
        <v>80</v>
      </c>
      <c r="B15" s="7" t="n">
        <v>16</v>
      </c>
      <c r="C15" s="13" t="n">
        <f aca="false">IFERROR(AVERAGEIF(Notes!$B$5:$B$34,B15,Notes!$E$5:$E$34),"")</f>
        <v>15.8181818181818</v>
      </c>
      <c r="D15" s="7" t="n">
        <v>10</v>
      </c>
      <c r="E15" s="7" t="s">
        <v>76</v>
      </c>
      <c r="F15" s="7" t="s">
        <v>76</v>
      </c>
      <c r="G15" s="14"/>
      <c r="H15" s="14"/>
      <c r="I15" s="14"/>
      <c r="J15" s="7" t="s">
        <v>77</v>
      </c>
      <c r="K15" s="7" t="s">
        <v>78</v>
      </c>
    </row>
    <row r="16" customFormat="false" ht="15" hidden="false" customHeight="false" outlineLevel="0" collapsed="false">
      <c r="A16" s="8" t="s">
        <v>80</v>
      </c>
      <c r="B16" s="8" t="n">
        <v>24</v>
      </c>
      <c r="C16" s="11" t="n">
        <f aca="false">IFERROR(AVERAGEIF(Notes!$B$5:$B$34,B16,Notes!$E$5:$E$34),"")</f>
        <v>24.9642857142857</v>
      </c>
      <c r="D16" s="8" t="n">
        <v>10</v>
      </c>
      <c r="E16" s="8" t="s">
        <v>76</v>
      </c>
      <c r="F16" s="8" t="s">
        <v>76</v>
      </c>
      <c r="G16" s="12"/>
      <c r="H16" s="12"/>
      <c r="I16" s="12"/>
      <c r="J16" s="8" t="s">
        <v>77</v>
      </c>
      <c r="K16" s="8" t="s">
        <v>78</v>
      </c>
    </row>
    <row r="17" customFormat="false" ht="15" hidden="false" customHeight="false" outlineLevel="0" collapsed="false">
      <c r="A17" s="7" t="s">
        <v>81</v>
      </c>
      <c r="B17" s="7" t="n">
        <v>8</v>
      </c>
      <c r="C17" s="13" t="n">
        <f aca="false">IFERROR(AVERAGEIF(Notes!$B$5:$B$34,B17,Notes!$E$5:$E$34),"")</f>
        <v>7.90909090909091</v>
      </c>
      <c r="D17" s="7" t="n">
        <v>10</v>
      </c>
      <c r="E17" s="7" t="s">
        <v>82</v>
      </c>
      <c r="F17" s="7" t="s">
        <v>83</v>
      </c>
      <c r="G17" s="14"/>
      <c r="H17" s="14"/>
      <c r="I17" s="14"/>
      <c r="J17" s="7" t="s">
        <v>84</v>
      </c>
      <c r="K17" s="7" t="s">
        <v>85</v>
      </c>
    </row>
    <row r="18" customFormat="false" ht="15" hidden="false" customHeight="false" outlineLevel="0" collapsed="false">
      <c r="A18" s="8" t="s">
        <v>81</v>
      </c>
      <c r="B18" s="8" t="n">
        <v>16</v>
      </c>
      <c r="C18" s="11" t="n">
        <f aca="false">IFERROR(AVERAGEIF(Notes!$B$5:$B$34,B18,Notes!$E$5:$E$34),"")</f>
        <v>15.8181818181818</v>
      </c>
      <c r="D18" s="8" t="n">
        <v>10</v>
      </c>
      <c r="E18" s="8" t="s">
        <v>82</v>
      </c>
      <c r="F18" s="8" t="s">
        <v>83</v>
      </c>
      <c r="G18" s="12"/>
      <c r="H18" s="12"/>
      <c r="I18" s="12"/>
      <c r="J18" s="8" t="s">
        <v>86</v>
      </c>
      <c r="K18" s="8" t="s">
        <v>85</v>
      </c>
    </row>
    <row r="19" customFormat="false" ht="15" hidden="false" customHeight="false" outlineLevel="0" collapsed="false">
      <c r="A19" s="7" t="s">
        <v>81</v>
      </c>
      <c r="B19" s="7" t="n">
        <v>24</v>
      </c>
      <c r="C19" s="13" t="n">
        <f aca="false">IFERROR(AVERAGEIF(Notes!$B$5:$B$34,B19,Notes!$E$5:$E$34),"")</f>
        <v>24.9642857142857</v>
      </c>
      <c r="D19" s="7" t="n">
        <v>10</v>
      </c>
      <c r="E19" s="7" t="s">
        <v>82</v>
      </c>
      <c r="F19" s="7" t="s">
        <v>83</v>
      </c>
      <c r="G19" s="14"/>
      <c r="H19" s="14"/>
      <c r="I19" s="14"/>
      <c r="J19" s="7" t="s">
        <v>87</v>
      </c>
      <c r="K19" s="7" t="s">
        <v>85</v>
      </c>
    </row>
    <row r="22" customFormat="false" ht="22.5" hidden="false" customHeight="true" outlineLevel="0" collapsed="false">
      <c r="A22" s="5" t="s">
        <v>88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customFormat="false" ht="31.5" hidden="false" customHeight="true" outlineLevel="0" collapsed="false">
      <c r="A23" s="6" t="s">
        <v>89</v>
      </c>
      <c r="B23" s="6" t="s">
        <v>66</v>
      </c>
      <c r="C23" s="6" t="s">
        <v>68</v>
      </c>
      <c r="D23" s="6" t="s">
        <v>90</v>
      </c>
      <c r="E23" s="6" t="s">
        <v>91</v>
      </c>
      <c r="F23" s="6" t="s">
        <v>92</v>
      </c>
      <c r="G23" s="6" t="s">
        <v>93</v>
      </c>
      <c r="H23" s="6" t="s">
        <v>11</v>
      </c>
      <c r="I23" s="6" t="s">
        <v>94</v>
      </c>
      <c r="J23" s="6" t="s">
        <v>95</v>
      </c>
      <c r="K23" s="6" t="s">
        <v>96</v>
      </c>
    </row>
    <row r="24" customFormat="false" ht="23.85" hidden="false" customHeight="false" outlineLevel="0" collapsed="false">
      <c r="A24" s="8" t="s">
        <v>97</v>
      </c>
      <c r="B24" s="8" t="n">
        <v>8</v>
      </c>
      <c r="C24" s="8" t="n">
        <v>10</v>
      </c>
      <c r="D24" s="12" t="n">
        <v>23.981</v>
      </c>
      <c r="E24" s="12"/>
      <c r="F24" s="12" t="n">
        <v>0.436</v>
      </c>
      <c r="G24" s="12" t="n">
        <v>0.211</v>
      </c>
      <c r="H24" s="8" t="s">
        <v>98</v>
      </c>
      <c r="I24" s="8"/>
      <c r="J24" s="8" t="s">
        <v>99</v>
      </c>
      <c r="K24" s="8" t="s">
        <v>100</v>
      </c>
    </row>
    <row r="25" customFormat="false" ht="23.85" hidden="false" customHeight="false" outlineLevel="0" collapsed="false">
      <c r="A25" s="7" t="s">
        <v>97</v>
      </c>
      <c r="B25" s="7" t="n">
        <v>16</v>
      </c>
      <c r="C25" s="7" t="n">
        <v>10</v>
      </c>
      <c r="D25" s="14" t="n">
        <v>22.058</v>
      </c>
      <c r="E25" s="14"/>
      <c r="F25" s="14" t="n">
        <v>0.541</v>
      </c>
      <c r="G25" s="14" t="n">
        <v>0.319</v>
      </c>
      <c r="H25" s="7" t="s">
        <v>98</v>
      </c>
      <c r="I25" s="7"/>
      <c r="J25" s="7" t="s">
        <v>101</v>
      </c>
      <c r="K25" s="7" t="s">
        <v>102</v>
      </c>
    </row>
    <row r="26" customFormat="false" ht="23.85" hidden="false" customHeight="false" outlineLevel="0" collapsed="false">
      <c r="A26" s="8" t="s">
        <v>97</v>
      </c>
      <c r="B26" s="8" t="n">
        <v>24</v>
      </c>
      <c r="C26" s="8" t="n">
        <v>10</v>
      </c>
      <c r="D26" s="12"/>
      <c r="E26" s="12"/>
      <c r="F26" s="12"/>
      <c r="G26" s="12"/>
      <c r="H26" s="8" t="s">
        <v>83</v>
      </c>
      <c r="I26" s="8"/>
      <c r="J26" s="8" t="s">
        <v>103</v>
      </c>
      <c r="K26" s="8" t="s">
        <v>104</v>
      </c>
    </row>
  </sheetData>
  <mergeCells count="4">
    <mergeCell ref="A1:K1"/>
    <mergeCell ref="A2:K2"/>
    <mergeCell ref="A6:K6"/>
    <mergeCell ref="A22:K22"/>
  </mergeCells>
  <conditionalFormatting sqref="E8:E19">
    <cfRule type="expression" priority="2" aboveAverage="0" equalAverage="0" bottom="0" percent="0" rank="0" text="" dxfId="6">
      <formula>ISNUMBER(SEARCH("complete",E8))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benchmark_v3</oddHeader>
    <oddFooter>&amp;RPage &amp;P of &amp;N</oddFooter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5" min="3" style="0" width="17"/>
    <col collapsed="false" customWidth="true" hidden="false" outlineLevel="0" max="6" min="6" style="0" width="15"/>
    <col collapsed="false" customWidth="true" hidden="false" outlineLevel="0" max="7" min="7" style="0" width="25"/>
    <col collapsed="false" customWidth="true" hidden="false" outlineLevel="0" max="8" min="8" style="0" width="44"/>
  </cols>
  <sheetData>
    <row r="1" customFormat="false" ht="30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106</v>
      </c>
      <c r="B2" s="2"/>
      <c r="C2" s="2"/>
      <c r="D2" s="2"/>
      <c r="E2" s="2"/>
      <c r="F2" s="2"/>
      <c r="G2" s="2"/>
      <c r="H2" s="2"/>
    </row>
    <row r="4" customFormat="false" ht="22.5" hidden="false" customHeight="true" outlineLevel="0" collapsed="false">
      <c r="A4" s="5" t="s">
        <v>107</v>
      </c>
      <c r="B4" s="5"/>
      <c r="C4" s="5"/>
      <c r="D4" s="5"/>
      <c r="E4" s="5"/>
      <c r="F4" s="5"/>
      <c r="G4" s="5"/>
      <c r="H4" s="5"/>
    </row>
    <row r="5" customFormat="false" ht="31.5" hidden="false" customHeight="true" outlineLevel="0" collapsed="false">
      <c r="A5" s="6" t="s">
        <v>7</v>
      </c>
      <c r="B5" s="6" t="s">
        <v>108</v>
      </c>
      <c r="C5" s="6" t="s">
        <v>71</v>
      </c>
      <c r="D5" s="6" t="s">
        <v>73</v>
      </c>
      <c r="E5" s="6" t="s">
        <v>72</v>
      </c>
      <c r="F5" s="6" t="s">
        <v>109</v>
      </c>
      <c r="G5" s="6" t="s">
        <v>11</v>
      </c>
      <c r="H5" s="6" t="s">
        <v>110</v>
      </c>
    </row>
    <row r="6" customFormat="false" ht="23.85" hidden="false" customHeight="false" outlineLevel="0" collapsed="false">
      <c r="A6" s="8" t="s">
        <v>111</v>
      </c>
      <c r="B6" s="8" t="s">
        <v>112</v>
      </c>
      <c r="C6" s="15" t="n">
        <v>24.256</v>
      </c>
      <c r="D6" s="16" t="n">
        <v>0.12354</v>
      </c>
      <c r="E6" s="16" t="n">
        <v>0.46814</v>
      </c>
      <c r="F6" s="17" t="n">
        <v>0.00372</v>
      </c>
      <c r="G6" s="8" t="s">
        <v>36</v>
      </c>
      <c r="H6" s="8" t="s">
        <v>113</v>
      </c>
    </row>
    <row r="7" customFormat="false" ht="23.85" hidden="false" customHeight="false" outlineLevel="0" collapsed="false">
      <c r="A7" s="7" t="s">
        <v>114</v>
      </c>
      <c r="B7" s="7" t="s">
        <v>115</v>
      </c>
      <c r="C7" s="18" t="n">
        <v>22.1839</v>
      </c>
      <c r="D7" s="19" t="n">
        <v>0.05297</v>
      </c>
      <c r="E7" s="19" t="n">
        <v>0.47335</v>
      </c>
      <c r="F7" s="20" t="n">
        <v>-0.00234</v>
      </c>
      <c r="G7" s="7" t="s">
        <v>36</v>
      </c>
      <c r="H7" s="7" t="s">
        <v>116</v>
      </c>
    </row>
    <row r="8" customFormat="false" ht="35.05" hidden="false" customHeight="false" outlineLevel="0" collapsed="false">
      <c r="A8" s="8" t="s">
        <v>117</v>
      </c>
      <c r="B8" s="8" t="s">
        <v>118</v>
      </c>
      <c r="C8" s="15" t="n">
        <v>22.7452</v>
      </c>
      <c r="D8" s="16" t="n">
        <v>0.04661</v>
      </c>
      <c r="E8" s="16" t="n">
        <v>0.46547</v>
      </c>
      <c r="F8" s="17" t="n">
        <v>-0.00273</v>
      </c>
      <c r="G8" s="8" t="s">
        <v>36</v>
      </c>
      <c r="H8" s="8" t="s">
        <v>119</v>
      </c>
    </row>
    <row r="9" customFormat="false" ht="23.85" hidden="false" customHeight="false" outlineLevel="0" collapsed="false">
      <c r="A9" s="7" t="s">
        <v>120</v>
      </c>
      <c r="B9" s="7" t="s">
        <v>121</v>
      </c>
      <c r="C9" s="18" t="n">
        <v>22.7453</v>
      </c>
      <c r="D9" s="19" t="n">
        <v>0.04661</v>
      </c>
      <c r="E9" s="19" t="n">
        <v>0.4658</v>
      </c>
      <c r="F9" s="20" t="n">
        <v>-0.00239</v>
      </c>
      <c r="G9" s="7" t="s">
        <v>36</v>
      </c>
      <c r="H9" s="7" t="s">
        <v>122</v>
      </c>
    </row>
    <row r="12" customFormat="false" ht="22.5" hidden="false" customHeight="true" outlineLevel="0" collapsed="false">
      <c r="A12" s="5" t="s">
        <v>123</v>
      </c>
      <c r="B12" s="5"/>
      <c r="C12" s="5"/>
      <c r="D12" s="5"/>
      <c r="E12" s="5"/>
      <c r="F12" s="5"/>
      <c r="G12" s="5"/>
      <c r="H12" s="5"/>
    </row>
    <row r="13" customFormat="false" ht="31.5" hidden="false" customHeight="true" outlineLevel="0" collapsed="false">
      <c r="A13" s="6" t="s">
        <v>124</v>
      </c>
      <c r="B13" s="6" t="s">
        <v>125</v>
      </c>
      <c r="C13" s="6" t="s">
        <v>126</v>
      </c>
      <c r="D13" s="6" t="s">
        <v>127</v>
      </c>
      <c r="E13" s="6" t="s">
        <v>128</v>
      </c>
      <c r="F13" s="6" t="s">
        <v>73</v>
      </c>
      <c r="G13" s="6" t="s">
        <v>129</v>
      </c>
      <c r="H13" s="6" t="s">
        <v>96</v>
      </c>
    </row>
    <row r="14" customFormat="false" ht="15" hidden="false" customHeight="false" outlineLevel="0" collapsed="false">
      <c r="A14" s="8" t="s">
        <v>130</v>
      </c>
      <c r="B14" s="15" t="n">
        <v>28.25</v>
      </c>
      <c r="C14" s="16" t="n">
        <v>0.719</v>
      </c>
      <c r="D14" s="15" t="n">
        <v>24.54</v>
      </c>
      <c r="E14" s="16" t="n">
        <v>0.641</v>
      </c>
      <c r="F14" s="16"/>
      <c r="G14" s="8" t="s">
        <v>131</v>
      </c>
      <c r="H14" s="8" t="s">
        <v>132</v>
      </c>
    </row>
    <row r="15" customFormat="false" ht="15" hidden="false" customHeight="false" outlineLevel="0" collapsed="false">
      <c r="A15" s="7" t="s">
        <v>133</v>
      </c>
      <c r="B15" s="18" t="n">
        <v>30.54</v>
      </c>
      <c r="C15" s="19" t="n">
        <v>0.784</v>
      </c>
      <c r="D15" s="18" t="n">
        <v>25.28</v>
      </c>
      <c r="E15" s="19" t="n">
        <v>0.661</v>
      </c>
      <c r="F15" s="19"/>
      <c r="G15" s="7" t="s">
        <v>131</v>
      </c>
      <c r="H15" s="7" t="s">
        <v>132</v>
      </c>
    </row>
    <row r="16" customFormat="false" ht="15" hidden="false" customHeight="false" outlineLevel="0" collapsed="false">
      <c r="A16" s="8" t="s">
        <v>134</v>
      </c>
      <c r="B16" s="15" t="n">
        <v>33.73</v>
      </c>
      <c r="C16" s="16" t="n">
        <v>0.848</v>
      </c>
      <c r="D16" s="15" t="n">
        <v>30.2</v>
      </c>
      <c r="E16" s="16" t="n">
        <v>0.792</v>
      </c>
      <c r="F16" s="16"/>
      <c r="G16" s="8" t="s">
        <v>131</v>
      </c>
      <c r="H16" s="8" t="s">
        <v>132</v>
      </c>
    </row>
    <row r="17" customFormat="false" ht="15" hidden="false" customHeight="false" outlineLevel="0" collapsed="false">
      <c r="A17" s="7" t="s">
        <v>135</v>
      </c>
      <c r="B17" s="18" t="n">
        <v>34.14</v>
      </c>
      <c r="C17" s="19" t="n">
        <v>0.851</v>
      </c>
      <c r="D17" s="18" t="n">
        <v>30.86</v>
      </c>
      <c r="E17" s="19" t="n">
        <v>0.805</v>
      </c>
      <c r="F17" s="19"/>
      <c r="G17" s="7" t="s">
        <v>131</v>
      </c>
      <c r="H17" s="7" t="s">
        <v>132</v>
      </c>
    </row>
    <row r="18" customFormat="false" ht="15" hidden="false" customHeight="false" outlineLevel="0" collapsed="false">
      <c r="A18" s="8" t="s">
        <v>136</v>
      </c>
      <c r="B18" s="15" t="n">
        <v>34.39</v>
      </c>
      <c r="C18" s="16" t="n">
        <v>0.853</v>
      </c>
      <c r="D18" s="15" t="n">
        <v>31.5</v>
      </c>
      <c r="E18" s="16" t="n">
        <v>0.813</v>
      </c>
      <c r="F18" s="16"/>
      <c r="G18" s="8" t="s">
        <v>131</v>
      </c>
      <c r="H18" s="8" t="s">
        <v>137</v>
      </c>
    </row>
    <row r="19" customFormat="false" ht="15" hidden="false" customHeight="false" outlineLevel="0" collapsed="false">
      <c r="A19" s="7" t="s">
        <v>138</v>
      </c>
      <c r="B19" s="18"/>
      <c r="C19" s="19"/>
      <c r="D19" s="18" t="n">
        <v>22.7453</v>
      </c>
      <c r="E19" s="19" t="n">
        <v>0.4658</v>
      </c>
      <c r="F19" s="19" t="n">
        <v>0.04661</v>
      </c>
      <c r="G19" s="7" t="s">
        <v>139</v>
      </c>
      <c r="H19" s="7" t="s">
        <v>140</v>
      </c>
    </row>
    <row r="20" customFormat="false" ht="15" hidden="false" customHeight="false" outlineLevel="0" collapsed="false">
      <c r="A20" s="8" t="s">
        <v>141</v>
      </c>
      <c r="B20" s="15"/>
      <c r="C20" s="16"/>
      <c r="D20" s="15" t="n">
        <v>22.6808</v>
      </c>
      <c r="E20" s="16" t="n">
        <v>0.4682</v>
      </c>
      <c r="F20" s="16" t="n">
        <v>0.04731</v>
      </c>
      <c r="G20" s="8" t="s">
        <v>142</v>
      </c>
      <c r="H20" s="8" t="s">
        <v>143</v>
      </c>
    </row>
    <row r="21" customFormat="false" ht="15" hidden="false" customHeight="false" outlineLevel="0" collapsed="false">
      <c r="A21" s="7" t="s">
        <v>144</v>
      </c>
      <c r="B21" s="18"/>
      <c r="C21" s="19"/>
      <c r="D21" s="18" t="n">
        <f aca="false">D19-D20</f>
        <v>0.0644999999999989</v>
      </c>
      <c r="E21" s="19" t="n">
        <f aca="false">E19-E20</f>
        <v>-0.00240000000000001</v>
      </c>
      <c r="F21" s="19" t="n">
        <f aca="false">F19-F20</f>
        <v>-0.000699999999999999</v>
      </c>
      <c r="G21" s="7" t="s">
        <v>145</v>
      </c>
      <c r="H21" s="7" t="s">
        <v>146</v>
      </c>
    </row>
    <row r="24" customFormat="false" ht="22.5" hidden="false" customHeight="true" outlineLevel="0" collapsed="false">
      <c r="A24" s="5" t="s">
        <v>35</v>
      </c>
      <c r="B24" s="5"/>
      <c r="C24" s="5"/>
      <c r="D24" s="5"/>
      <c r="E24" s="5"/>
      <c r="F24" s="5"/>
      <c r="G24" s="5"/>
      <c r="H24" s="5"/>
    </row>
    <row r="25" customFormat="false" ht="15" hidden="false" customHeight="true" outlineLevel="0" collapsed="false">
      <c r="A25" s="21" t="s">
        <v>147</v>
      </c>
      <c r="B25" s="22" t="n">
        <v>7.057</v>
      </c>
      <c r="D25" s="9" t="s">
        <v>148</v>
      </c>
      <c r="E25" s="9"/>
      <c r="F25" s="9"/>
      <c r="G25" s="9"/>
      <c r="H25" s="9"/>
    </row>
    <row r="26" customFormat="false" ht="15" hidden="false" customHeight="false" outlineLevel="0" collapsed="false">
      <c r="A26" s="21" t="s">
        <v>149</v>
      </c>
      <c r="B26" s="22" t="n">
        <v>25.108</v>
      </c>
      <c r="D26" s="9"/>
      <c r="E26" s="9"/>
      <c r="F26" s="9"/>
      <c r="G26" s="9"/>
      <c r="H26" s="9"/>
    </row>
    <row r="27" customFormat="false" ht="15" hidden="false" customHeight="false" outlineLevel="0" collapsed="false">
      <c r="A27" s="21" t="s">
        <v>150</v>
      </c>
      <c r="B27" s="22" t="n">
        <f aca="false">B26-B25</f>
        <v>18.051</v>
      </c>
      <c r="D27" s="9"/>
      <c r="E27" s="9"/>
      <c r="F27" s="9"/>
      <c r="G27" s="9"/>
      <c r="H27" s="9"/>
    </row>
  </sheetData>
  <mergeCells count="6">
    <mergeCell ref="A1:H1"/>
    <mergeCell ref="A2:H2"/>
    <mergeCell ref="A4:H4"/>
    <mergeCell ref="A12:H12"/>
    <mergeCell ref="A24:H24"/>
    <mergeCell ref="D25:H27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benchmark_v3</oddHeader>
    <oddFooter>&amp;RPage &amp;P of &amp;N</oddFooter>
  </headerFooter>
  <tableParts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3" style="0" width="31"/>
    <col collapsed="false" customWidth="true" hidden="false" outlineLevel="0" max="5" min="5" style="0" width="29"/>
    <col collapsed="false" customWidth="true" hidden="false" outlineLevel="0" max="6" min="6" style="0" width="47"/>
    <col collapsed="false" customWidth="true" hidden="false" outlineLevel="0" max="7" min="7" style="0" width="15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151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152</v>
      </c>
      <c r="B2" s="2"/>
      <c r="C2" s="2"/>
      <c r="D2" s="2"/>
      <c r="E2" s="2"/>
      <c r="F2" s="2"/>
      <c r="G2" s="2"/>
      <c r="H2" s="2"/>
    </row>
    <row r="3" customFormat="false" ht="22.5" hidden="false" customHeight="true" outlineLevel="0" collapsed="false">
      <c r="A3" s="5" t="s">
        <v>153</v>
      </c>
      <c r="B3" s="5"/>
      <c r="C3" s="5"/>
      <c r="D3" s="5"/>
      <c r="E3" s="5"/>
      <c r="F3" s="5"/>
      <c r="G3" s="5"/>
      <c r="H3" s="5"/>
    </row>
    <row r="4" customFormat="false" ht="31.5" hidden="false" customHeight="true" outlineLevel="0" collapsed="false">
      <c r="A4" s="6" t="s">
        <v>154</v>
      </c>
      <c r="B4" s="6" t="s">
        <v>66</v>
      </c>
      <c r="C4" s="6" t="s">
        <v>155</v>
      </c>
      <c r="D4" s="6" t="s">
        <v>156</v>
      </c>
      <c r="E4" s="6" t="s">
        <v>94</v>
      </c>
      <c r="F4" s="6" t="s">
        <v>157</v>
      </c>
      <c r="G4" s="6" t="s">
        <v>158</v>
      </c>
      <c r="H4" s="6" t="s">
        <v>12</v>
      </c>
    </row>
    <row r="5" customFormat="false" ht="23.85" hidden="false" customHeight="false" outlineLevel="0" collapsed="false">
      <c r="A5" s="7" t="s">
        <v>159</v>
      </c>
      <c r="B5" s="7" t="n">
        <v>8</v>
      </c>
      <c r="C5" s="7" t="n">
        <v>180</v>
      </c>
      <c r="D5" s="7" t="n">
        <v>22</v>
      </c>
      <c r="E5" s="13" t="n">
        <f aca="false">IFERROR(C5/D5,"")</f>
        <v>8.18181818181818</v>
      </c>
      <c r="F5" s="7" t="s">
        <v>160</v>
      </c>
      <c r="G5" s="7" t="s">
        <v>161</v>
      </c>
      <c r="H5" s="7" t="s">
        <v>84</v>
      </c>
    </row>
    <row r="6" customFormat="false" ht="23.85" hidden="false" customHeight="false" outlineLevel="0" collapsed="false">
      <c r="A6" s="8" t="s">
        <v>162</v>
      </c>
      <c r="B6" s="8" t="n">
        <v>8</v>
      </c>
      <c r="C6" s="8" t="n">
        <v>162</v>
      </c>
      <c r="D6" s="8" t="n">
        <v>20</v>
      </c>
      <c r="E6" s="11" t="n">
        <f aca="false">IFERROR(C6/D6,"")</f>
        <v>8.1</v>
      </c>
      <c r="F6" s="8" t="s">
        <v>160</v>
      </c>
      <c r="G6" s="8" t="s">
        <v>161</v>
      </c>
      <c r="H6" s="8" t="s">
        <v>84</v>
      </c>
    </row>
    <row r="7" customFormat="false" ht="23.85" hidden="false" customHeight="false" outlineLevel="0" collapsed="false">
      <c r="A7" s="7" t="s">
        <v>163</v>
      </c>
      <c r="B7" s="7" t="n">
        <v>8</v>
      </c>
      <c r="C7" s="7" t="n">
        <v>174</v>
      </c>
      <c r="D7" s="7" t="n">
        <v>22</v>
      </c>
      <c r="E7" s="13" t="n">
        <f aca="false">IFERROR(C7/D7,"")</f>
        <v>7.90909090909091</v>
      </c>
      <c r="F7" s="7" t="s">
        <v>160</v>
      </c>
      <c r="G7" s="7" t="s">
        <v>161</v>
      </c>
      <c r="H7" s="7" t="s">
        <v>84</v>
      </c>
    </row>
    <row r="8" customFormat="false" ht="23.85" hidden="false" customHeight="false" outlineLevel="0" collapsed="false">
      <c r="A8" s="8" t="s">
        <v>164</v>
      </c>
      <c r="B8" s="8" t="n">
        <v>8</v>
      </c>
      <c r="C8" s="8" t="n">
        <v>156</v>
      </c>
      <c r="D8" s="8" t="n">
        <v>20</v>
      </c>
      <c r="E8" s="11" t="n">
        <f aca="false">IFERROR(C8/D8,"")</f>
        <v>7.8</v>
      </c>
      <c r="F8" s="8" t="s">
        <v>160</v>
      </c>
      <c r="G8" s="8" t="s">
        <v>161</v>
      </c>
      <c r="H8" s="8" t="s">
        <v>84</v>
      </c>
    </row>
    <row r="9" customFormat="false" ht="23.85" hidden="false" customHeight="false" outlineLevel="0" collapsed="false">
      <c r="A9" s="7" t="s">
        <v>165</v>
      </c>
      <c r="B9" s="7" t="n">
        <v>8</v>
      </c>
      <c r="C9" s="7" t="n">
        <v>156</v>
      </c>
      <c r="D9" s="7" t="n">
        <v>20</v>
      </c>
      <c r="E9" s="13" t="n">
        <f aca="false">IFERROR(C9/D9,"")</f>
        <v>7.8</v>
      </c>
      <c r="F9" s="7" t="s">
        <v>160</v>
      </c>
      <c r="G9" s="7" t="s">
        <v>161</v>
      </c>
      <c r="H9" s="7" t="s">
        <v>84</v>
      </c>
    </row>
    <row r="10" customFormat="false" ht="23.85" hidden="false" customHeight="false" outlineLevel="0" collapsed="false">
      <c r="A10" s="8" t="s">
        <v>166</v>
      </c>
      <c r="B10" s="8" t="n">
        <v>8</v>
      </c>
      <c r="C10" s="8" t="n">
        <v>156</v>
      </c>
      <c r="D10" s="8" t="n">
        <v>20</v>
      </c>
      <c r="E10" s="11" t="n">
        <f aca="false">IFERROR(C10/D10,"")</f>
        <v>7.8</v>
      </c>
      <c r="F10" s="8" t="s">
        <v>160</v>
      </c>
      <c r="G10" s="8" t="s">
        <v>161</v>
      </c>
      <c r="H10" s="8" t="s">
        <v>84</v>
      </c>
    </row>
    <row r="11" customFormat="false" ht="23.85" hidden="false" customHeight="false" outlineLevel="0" collapsed="false">
      <c r="A11" s="7" t="s">
        <v>167</v>
      </c>
      <c r="B11" s="7" t="n">
        <v>8</v>
      </c>
      <c r="C11" s="7" t="n">
        <v>156</v>
      </c>
      <c r="D11" s="7" t="n">
        <v>20</v>
      </c>
      <c r="E11" s="13" t="n">
        <f aca="false">IFERROR(C11/D11,"")</f>
        <v>7.8</v>
      </c>
      <c r="F11" s="7" t="s">
        <v>160</v>
      </c>
      <c r="G11" s="7" t="s">
        <v>161</v>
      </c>
      <c r="H11" s="7" t="s">
        <v>84</v>
      </c>
    </row>
    <row r="12" customFormat="false" ht="23.85" hidden="false" customHeight="false" outlineLevel="0" collapsed="false">
      <c r="A12" s="8" t="s">
        <v>168</v>
      </c>
      <c r="B12" s="8" t="n">
        <v>8</v>
      </c>
      <c r="C12" s="8" t="n">
        <v>156</v>
      </c>
      <c r="D12" s="8" t="n">
        <v>20</v>
      </c>
      <c r="E12" s="11" t="n">
        <f aca="false">IFERROR(C12/D12,"")</f>
        <v>7.8</v>
      </c>
      <c r="F12" s="8" t="s">
        <v>160</v>
      </c>
      <c r="G12" s="8" t="s">
        <v>161</v>
      </c>
      <c r="H12" s="8" t="s">
        <v>84</v>
      </c>
    </row>
    <row r="13" customFormat="false" ht="23.85" hidden="false" customHeight="false" outlineLevel="0" collapsed="false">
      <c r="A13" s="7" t="s">
        <v>169</v>
      </c>
      <c r="B13" s="7" t="n">
        <v>8</v>
      </c>
      <c r="C13" s="7" t="n">
        <v>162</v>
      </c>
      <c r="D13" s="7" t="n">
        <v>20</v>
      </c>
      <c r="E13" s="13" t="n">
        <f aca="false">IFERROR(C13/D13,"")</f>
        <v>8.1</v>
      </c>
      <c r="F13" s="7" t="s">
        <v>160</v>
      </c>
      <c r="G13" s="7" t="s">
        <v>161</v>
      </c>
      <c r="H13" s="7" t="s">
        <v>84</v>
      </c>
    </row>
    <row r="14" customFormat="false" ht="23.85" hidden="false" customHeight="false" outlineLevel="0" collapsed="false">
      <c r="A14" s="8" t="s">
        <v>170</v>
      </c>
      <c r="B14" s="8" t="n">
        <v>8</v>
      </c>
      <c r="C14" s="8" t="n">
        <v>156</v>
      </c>
      <c r="D14" s="8" t="n">
        <v>20</v>
      </c>
      <c r="E14" s="11" t="n">
        <f aca="false">IFERROR(C14/D14,"")</f>
        <v>7.8</v>
      </c>
      <c r="F14" s="8" t="s">
        <v>160</v>
      </c>
      <c r="G14" s="8" t="s">
        <v>161</v>
      </c>
      <c r="H14" s="8" t="s">
        <v>84</v>
      </c>
    </row>
    <row r="15" customFormat="false" ht="35.05" hidden="false" customHeight="false" outlineLevel="0" collapsed="false">
      <c r="A15" s="7" t="s">
        <v>159</v>
      </c>
      <c r="B15" s="7" t="n">
        <v>16</v>
      </c>
      <c r="C15" s="7" t="n">
        <v>180</v>
      </c>
      <c r="D15" s="7" t="n">
        <v>11</v>
      </c>
      <c r="E15" s="13" t="n">
        <f aca="false">IFERROR(C15/D15,"")</f>
        <v>16.3636363636364</v>
      </c>
      <c r="F15" s="7" t="s">
        <v>160</v>
      </c>
      <c r="G15" s="7" t="s">
        <v>161</v>
      </c>
      <c r="H15" s="7" t="s">
        <v>86</v>
      </c>
    </row>
    <row r="16" customFormat="false" ht="35.05" hidden="false" customHeight="false" outlineLevel="0" collapsed="false">
      <c r="A16" s="8" t="s">
        <v>162</v>
      </c>
      <c r="B16" s="8" t="n">
        <v>16</v>
      </c>
      <c r="C16" s="8" t="n">
        <v>162</v>
      </c>
      <c r="D16" s="8" t="n">
        <v>10</v>
      </c>
      <c r="E16" s="11" t="n">
        <f aca="false">IFERROR(C16/D16,"")</f>
        <v>16.2</v>
      </c>
      <c r="F16" s="8" t="s">
        <v>160</v>
      </c>
      <c r="G16" s="8" t="s">
        <v>161</v>
      </c>
      <c r="H16" s="8" t="s">
        <v>86</v>
      </c>
    </row>
    <row r="17" customFormat="false" ht="35.05" hidden="false" customHeight="false" outlineLevel="0" collapsed="false">
      <c r="A17" s="7" t="s">
        <v>163</v>
      </c>
      <c r="B17" s="7" t="n">
        <v>16</v>
      </c>
      <c r="C17" s="7" t="n">
        <v>174</v>
      </c>
      <c r="D17" s="7" t="n">
        <v>11</v>
      </c>
      <c r="E17" s="13" t="n">
        <f aca="false">IFERROR(C17/D17,"")</f>
        <v>15.8181818181818</v>
      </c>
      <c r="F17" s="7" t="s">
        <v>160</v>
      </c>
      <c r="G17" s="7" t="s">
        <v>161</v>
      </c>
      <c r="H17" s="7" t="s">
        <v>86</v>
      </c>
    </row>
    <row r="18" customFormat="false" ht="35.05" hidden="false" customHeight="false" outlineLevel="0" collapsed="false">
      <c r="A18" s="8" t="s">
        <v>164</v>
      </c>
      <c r="B18" s="8" t="n">
        <v>16</v>
      </c>
      <c r="C18" s="8" t="n">
        <v>156</v>
      </c>
      <c r="D18" s="8" t="n">
        <v>10</v>
      </c>
      <c r="E18" s="11" t="n">
        <f aca="false">IFERROR(C18/D18,"")</f>
        <v>15.6</v>
      </c>
      <c r="F18" s="8" t="s">
        <v>160</v>
      </c>
      <c r="G18" s="8" t="s">
        <v>161</v>
      </c>
      <c r="H18" s="8" t="s">
        <v>86</v>
      </c>
    </row>
    <row r="19" customFormat="false" ht="35.05" hidden="false" customHeight="false" outlineLevel="0" collapsed="false">
      <c r="A19" s="7" t="s">
        <v>165</v>
      </c>
      <c r="B19" s="7" t="n">
        <v>16</v>
      </c>
      <c r="C19" s="7" t="n">
        <v>156</v>
      </c>
      <c r="D19" s="7" t="n">
        <v>10</v>
      </c>
      <c r="E19" s="13" t="n">
        <f aca="false">IFERROR(C19/D19,"")</f>
        <v>15.6</v>
      </c>
      <c r="F19" s="7" t="s">
        <v>160</v>
      </c>
      <c r="G19" s="7" t="s">
        <v>161</v>
      </c>
      <c r="H19" s="7" t="s">
        <v>86</v>
      </c>
    </row>
    <row r="20" customFormat="false" ht="35.05" hidden="false" customHeight="false" outlineLevel="0" collapsed="false">
      <c r="A20" s="8" t="s">
        <v>166</v>
      </c>
      <c r="B20" s="8" t="n">
        <v>16</v>
      </c>
      <c r="C20" s="8" t="n">
        <v>156</v>
      </c>
      <c r="D20" s="8" t="n">
        <v>10</v>
      </c>
      <c r="E20" s="11" t="n">
        <f aca="false">IFERROR(C20/D20,"")</f>
        <v>15.6</v>
      </c>
      <c r="F20" s="8" t="s">
        <v>160</v>
      </c>
      <c r="G20" s="8" t="s">
        <v>161</v>
      </c>
      <c r="H20" s="8" t="s">
        <v>86</v>
      </c>
    </row>
    <row r="21" customFormat="false" ht="35.05" hidden="false" customHeight="false" outlineLevel="0" collapsed="false">
      <c r="A21" s="7" t="s">
        <v>167</v>
      </c>
      <c r="B21" s="7" t="n">
        <v>16</v>
      </c>
      <c r="C21" s="7" t="n">
        <v>156</v>
      </c>
      <c r="D21" s="7" t="n">
        <v>10</v>
      </c>
      <c r="E21" s="13" t="n">
        <f aca="false">IFERROR(C21/D21,"")</f>
        <v>15.6</v>
      </c>
      <c r="F21" s="7" t="s">
        <v>160</v>
      </c>
      <c r="G21" s="7" t="s">
        <v>161</v>
      </c>
      <c r="H21" s="7" t="s">
        <v>86</v>
      </c>
    </row>
    <row r="22" customFormat="false" ht="35.05" hidden="false" customHeight="false" outlineLevel="0" collapsed="false">
      <c r="A22" s="8" t="s">
        <v>168</v>
      </c>
      <c r="B22" s="8" t="n">
        <v>16</v>
      </c>
      <c r="C22" s="8" t="n">
        <v>156</v>
      </c>
      <c r="D22" s="8" t="n">
        <v>10</v>
      </c>
      <c r="E22" s="11" t="n">
        <f aca="false">IFERROR(C22/D22,"")</f>
        <v>15.6</v>
      </c>
      <c r="F22" s="8" t="s">
        <v>160</v>
      </c>
      <c r="G22" s="8" t="s">
        <v>161</v>
      </c>
      <c r="H22" s="8" t="s">
        <v>86</v>
      </c>
    </row>
    <row r="23" customFormat="false" ht="35.05" hidden="false" customHeight="false" outlineLevel="0" collapsed="false">
      <c r="A23" s="7" t="s">
        <v>169</v>
      </c>
      <c r="B23" s="7" t="n">
        <v>16</v>
      </c>
      <c r="C23" s="7" t="n">
        <v>162</v>
      </c>
      <c r="D23" s="7" t="n">
        <v>10</v>
      </c>
      <c r="E23" s="13" t="n">
        <f aca="false">IFERROR(C23/D23,"")</f>
        <v>16.2</v>
      </c>
      <c r="F23" s="7" t="s">
        <v>160</v>
      </c>
      <c r="G23" s="7" t="s">
        <v>161</v>
      </c>
      <c r="H23" s="7" t="s">
        <v>86</v>
      </c>
    </row>
    <row r="24" customFormat="false" ht="35.05" hidden="false" customHeight="false" outlineLevel="0" collapsed="false">
      <c r="A24" s="8" t="s">
        <v>170</v>
      </c>
      <c r="B24" s="8" t="n">
        <v>16</v>
      </c>
      <c r="C24" s="8" t="n">
        <v>156</v>
      </c>
      <c r="D24" s="8" t="n">
        <v>10</v>
      </c>
      <c r="E24" s="11" t="n">
        <f aca="false">IFERROR(C24/D24,"")</f>
        <v>15.6</v>
      </c>
      <c r="F24" s="8" t="s">
        <v>160</v>
      </c>
      <c r="G24" s="8" t="s">
        <v>161</v>
      </c>
      <c r="H24" s="8" t="s">
        <v>86</v>
      </c>
    </row>
    <row r="25" customFormat="false" ht="35.05" hidden="false" customHeight="false" outlineLevel="0" collapsed="false">
      <c r="A25" s="7" t="s">
        <v>159</v>
      </c>
      <c r="B25" s="7" t="n">
        <v>24</v>
      </c>
      <c r="C25" s="7" t="n">
        <v>180</v>
      </c>
      <c r="D25" s="7" t="n">
        <v>8</v>
      </c>
      <c r="E25" s="13" t="n">
        <f aca="false">IFERROR(C25/D25,"")</f>
        <v>22.5</v>
      </c>
      <c r="F25" s="7" t="s">
        <v>160</v>
      </c>
      <c r="G25" s="7" t="s">
        <v>161</v>
      </c>
      <c r="H25" s="7" t="s">
        <v>87</v>
      </c>
    </row>
    <row r="26" customFormat="false" ht="35.05" hidden="false" customHeight="false" outlineLevel="0" collapsed="false">
      <c r="A26" s="8" t="s">
        <v>162</v>
      </c>
      <c r="B26" s="8" t="n">
        <v>24</v>
      </c>
      <c r="C26" s="8" t="n">
        <v>162</v>
      </c>
      <c r="D26" s="8" t="n">
        <v>7</v>
      </c>
      <c r="E26" s="11" t="n">
        <f aca="false">IFERROR(C26/D26,"")</f>
        <v>23.1428571428571</v>
      </c>
      <c r="F26" s="8" t="s">
        <v>160</v>
      </c>
      <c r="G26" s="8" t="s">
        <v>161</v>
      </c>
      <c r="H26" s="8" t="s">
        <v>87</v>
      </c>
    </row>
    <row r="27" customFormat="false" ht="35.05" hidden="false" customHeight="false" outlineLevel="0" collapsed="false">
      <c r="A27" s="7" t="s">
        <v>163</v>
      </c>
      <c r="B27" s="7" t="n">
        <v>24</v>
      </c>
      <c r="C27" s="7" t="n">
        <v>174</v>
      </c>
      <c r="D27" s="7" t="n">
        <v>7</v>
      </c>
      <c r="E27" s="13" t="n">
        <f aca="false">IFERROR(C27/D27,"")</f>
        <v>24.8571428571429</v>
      </c>
      <c r="F27" s="7" t="s">
        <v>160</v>
      </c>
      <c r="G27" s="7" t="s">
        <v>161</v>
      </c>
      <c r="H27" s="7" t="s">
        <v>87</v>
      </c>
    </row>
    <row r="28" customFormat="false" ht="35.05" hidden="false" customHeight="false" outlineLevel="0" collapsed="false">
      <c r="A28" s="8" t="s">
        <v>164</v>
      </c>
      <c r="B28" s="8" t="n">
        <v>24</v>
      </c>
      <c r="C28" s="8" t="n">
        <v>156</v>
      </c>
      <c r="D28" s="8" t="n">
        <v>6</v>
      </c>
      <c r="E28" s="11" t="n">
        <f aca="false">IFERROR(C28/D28,"")</f>
        <v>26</v>
      </c>
      <c r="F28" s="8" t="s">
        <v>160</v>
      </c>
      <c r="G28" s="8" t="s">
        <v>161</v>
      </c>
      <c r="H28" s="8" t="s">
        <v>87</v>
      </c>
    </row>
    <row r="29" customFormat="false" ht="35.05" hidden="false" customHeight="false" outlineLevel="0" collapsed="false">
      <c r="A29" s="7" t="s">
        <v>165</v>
      </c>
      <c r="B29" s="7" t="n">
        <v>24</v>
      </c>
      <c r="C29" s="7" t="n">
        <v>156</v>
      </c>
      <c r="D29" s="7" t="n">
        <v>6</v>
      </c>
      <c r="E29" s="13" t="n">
        <f aca="false">IFERROR(C29/D29,"")</f>
        <v>26</v>
      </c>
      <c r="F29" s="7" t="s">
        <v>160</v>
      </c>
      <c r="G29" s="7" t="s">
        <v>161</v>
      </c>
      <c r="H29" s="7" t="s">
        <v>87</v>
      </c>
    </row>
    <row r="30" customFormat="false" ht="35.05" hidden="false" customHeight="false" outlineLevel="0" collapsed="false">
      <c r="A30" s="8" t="s">
        <v>166</v>
      </c>
      <c r="B30" s="8" t="n">
        <v>24</v>
      </c>
      <c r="C30" s="8" t="n">
        <v>156</v>
      </c>
      <c r="D30" s="8" t="n">
        <v>6</v>
      </c>
      <c r="E30" s="11" t="n">
        <f aca="false">IFERROR(C30/D30,"")</f>
        <v>26</v>
      </c>
      <c r="F30" s="8" t="s">
        <v>160</v>
      </c>
      <c r="G30" s="8" t="s">
        <v>161</v>
      </c>
      <c r="H30" s="8" t="s">
        <v>87</v>
      </c>
    </row>
    <row r="31" customFormat="false" ht="35.05" hidden="false" customHeight="false" outlineLevel="0" collapsed="false">
      <c r="A31" s="7" t="s">
        <v>167</v>
      </c>
      <c r="B31" s="7" t="n">
        <v>24</v>
      </c>
      <c r="C31" s="7" t="n">
        <v>156</v>
      </c>
      <c r="D31" s="7" t="n">
        <v>6</v>
      </c>
      <c r="E31" s="13" t="n">
        <f aca="false">IFERROR(C31/D31,"")</f>
        <v>26</v>
      </c>
      <c r="F31" s="7" t="s">
        <v>160</v>
      </c>
      <c r="G31" s="7" t="s">
        <v>161</v>
      </c>
      <c r="H31" s="7" t="s">
        <v>87</v>
      </c>
    </row>
    <row r="32" customFormat="false" ht="35.05" hidden="false" customHeight="false" outlineLevel="0" collapsed="false">
      <c r="A32" s="8" t="s">
        <v>168</v>
      </c>
      <c r="B32" s="8" t="n">
        <v>24</v>
      </c>
      <c r="C32" s="8" t="n">
        <v>156</v>
      </c>
      <c r="D32" s="8" t="n">
        <v>6</v>
      </c>
      <c r="E32" s="11" t="n">
        <f aca="false">IFERROR(C32/D32,"")</f>
        <v>26</v>
      </c>
      <c r="F32" s="8" t="s">
        <v>160</v>
      </c>
      <c r="G32" s="8" t="s">
        <v>161</v>
      </c>
      <c r="H32" s="8" t="s">
        <v>87</v>
      </c>
    </row>
    <row r="33" customFormat="false" ht="35.05" hidden="false" customHeight="false" outlineLevel="0" collapsed="false">
      <c r="A33" s="7" t="s">
        <v>169</v>
      </c>
      <c r="B33" s="7" t="n">
        <v>24</v>
      </c>
      <c r="C33" s="7" t="n">
        <v>162</v>
      </c>
      <c r="D33" s="7" t="n">
        <v>7</v>
      </c>
      <c r="E33" s="13" t="n">
        <f aca="false">IFERROR(C33/D33,"")</f>
        <v>23.1428571428571</v>
      </c>
      <c r="F33" s="7" t="s">
        <v>160</v>
      </c>
      <c r="G33" s="7" t="s">
        <v>161</v>
      </c>
      <c r="H33" s="7" t="s">
        <v>87</v>
      </c>
    </row>
    <row r="34" customFormat="false" ht="35.05" hidden="false" customHeight="false" outlineLevel="0" collapsed="false">
      <c r="A34" s="8" t="s">
        <v>170</v>
      </c>
      <c r="B34" s="8" t="n">
        <v>24</v>
      </c>
      <c r="C34" s="8" t="n">
        <v>156</v>
      </c>
      <c r="D34" s="8" t="n">
        <v>6</v>
      </c>
      <c r="E34" s="11" t="n">
        <f aca="false">IFERROR(C34/D34,"")</f>
        <v>26</v>
      </c>
      <c r="F34" s="8" t="s">
        <v>160</v>
      </c>
      <c r="G34" s="8" t="s">
        <v>161</v>
      </c>
      <c r="H34" s="8" t="s">
        <v>87</v>
      </c>
    </row>
    <row r="37" customFormat="false" ht="22.5" hidden="false" customHeight="true" outlineLevel="0" collapsed="false">
      <c r="A37" s="5" t="s">
        <v>171</v>
      </c>
      <c r="B37" s="5"/>
      <c r="C37" s="5"/>
      <c r="D37" s="5"/>
      <c r="E37" s="5"/>
      <c r="F37" s="5"/>
      <c r="G37" s="5"/>
      <c r="H37" s="5"/>
    </row>
    <row r="38" customFormat="false" ht="31.5" hidden="false" customHeight="true" outlineLevel="0" collapsed="false">
      <c r="A38" s="6" t="s">
        <v>172</v>
      </c>
      <c r="B38" s="6" t="s">
        <v>173</v>
      </c>
      <c r="C38" s="6" t="s">
        <v>174</v>
      </c>
      <c r="D38" s="6" t="s">
        <v>175</v>
      </c>
      <c r="E38" s="6" t="s">
        <v>176</v>
      </c>
      <c r="F38" s="6" t="s">
        <v>177</v>
      </c>
      <c r="G38" s="6" t="s">
        <v>178</v>
      </c>
      <c r="H38" s="6" t="s">
        <v>179</v>
      </c>
    </row>
    <row r="39" customFormat="false" ht="35.05" hidden="false" customHeight="false" outlineLevel="0" collapsed="false">
      <c r="A39" s="7" t="s">
        <v>71</v>
      </c>
      <c r="B39" s="7" t="s">
        <v>180</v>
      </c>
      <c r="C39" s="7" t="s">
        <v>181</v>
      </c>
      <c r="D39" s="7" t="s">
        <v>182</v>
      </c>
      <c r="E39" s="7" t="s">
        <v>161</v>
      </c>
      <c r="F39" s="7" t="s">
        <v>183</v>
      </c>
      <c r="G39" s="7" t="s">
        <v>184</v>
      </c>
      <c r="H39" s="7" t="s">
        <v>185</v>
      </c>
    </row>
    <row r="40" customFormat="false" ht="35.05" hidden="false" customHeight="false" outlineLevel="0" collapsed="false">
      <c r="A40" s="8" t="s">
        <v>72</v>
      </c>
      <c r="B40" s="8" t="s">
        <v>186</v>
      </c>
      <c r="C40" s="8" t="s">
        <v>181</v>
      </c>
      <c r="D40" s="8" t="s">
        <v>182</v>
      </c>
      <c r="E40" s="8" t="s">
        <v>161</v>
      </c>
      <c r="F40" s="8" t="s">
        <v>187</v>
      </c>
      <c r="G40" s="8" t="s">
        <v>188</v>
      </c>
      <c r="H40" s="8" t="s">
        <v>189</v>
      </c>
    </row>
    <row r="41" customFormat="false" ht="23.85" hidden="false" customHeight="false" outlineLevel="0" collapsed="false">
      <c r="A41" s="7" t="s">
        <v>73</v>
      </c>
      <c r="B41" s="7" t="s">
        <v>190</v>
      </c>
      <c r="C41" s="7" t="s">
        <v>181</v>
      </c>
      <c r="D41" s="7" t="s">
        <v>191</v>
      </c>
      <c r="E41" s="7" t="s">
        <v>161</v>
      </c>
      <c r="F41" s="7" t="s">
        <v>187</v>
      </c>
      <c r="G41" s="7" t="s">
        <v>192</v>
      </c>
      <c r="H41" s="7" t="s">
        <v>193</v>
      </c>
    </row>
    <row r="42" customFormat="false" ht="35.05" hidden="false" customHeight="false" outlineLevel="0" collapsed="false">
      <c r="A42" s="8" t="s">
        <v>194</v>
      </c>
      <c r="B42" s="8" t="s">
        <v>195</v>
      </c>
      <c r="C42" s="8" t="s">
        <v>196</v>
      </c>
      <c r="D42" s="8" t="s">
        <v>191</v>
      </c>
      <c r="E42" s="8" t="s">
        <v>197</v>
      </c>
      <c r="F42" s="8" t="s">
        <v>187</v>
      </c>
      <c r="G42" s="8" t="s">
        <v>192</v>
      </c>
      <c r="H42" s="8" t="s">
        <v>198</v>
      </c>
    </row>
    <row r="43" customFormat="false" ht="46.25" hidden="false" customHeight="false" outlineLevel="0" collapsed="false">
      <c r="A43" s="7" t="s">
        <v>94</v>
      </c>
      <c r="B43" s="7" t="s">
        <v>199</v>
      </c>
      <c r="C43" s="7" t="s">
        <v>200</v>
      </c>
      <c r="D43" s="7" t="s">
        <v>201</v>
      </c>
      <c r="E43" s="7" t="s">
        <v>161</v>
      </c>
      <c r="F43" s="7" t="s">
        <v>202</v>
      </c>
      <c r="G43" s="7" t="s">
        <v>203</v>
      </c>
      <c r="H43" s="7" t="s">
        <v>204</v>
      </c>
    </row>
    <row r="46" customFormat="false" ht="22.5" hidden="false" customHeight="true" outlineLevel="0" collapsed="false">
      <c r="A46" s="5" t="s">
        <v>205</v>
      </c>
      <c r="B46" s="5"/>
      <c r="C46" s="5"/>
      <c r="D46" s="5"/>
      <c r="E46" s="5"/>
      <c r="F46" s="5"/>
      <c r="G46" s="5"/>
      <c r="H46" s="5"/>
    </row>
    <row r="47" customFormat="false" ht="31.5" hidden="false" customHeight="true" outlineLevel="0" collapsed="false">
      <c r="A47" s="6" t="s">
        <v>206</v>
      </c>
      <c r="B47" s="6" t="s">
        <v>207</v>
      </c>
      <c r="C47" s="6" t="s">
        <v>208</v>
      </c>
      <c r="D47" s="6" t="s">
        <v>209</v>
      </c>
      <c r="E47" s="6" t="s">
        <v>210</v>
      </c>
      <c r="F47" s="6" t="s">
        <v>211</v>
      </c>
      <c r="G47" s="6" t="s">
        <v>212</v>
      </c>
      <c r="H47" s="6" t="s">
        <v>11</v>
      </c>
    </row>
    <row r="48" customFormat="false" ht="15" hidden="false" customHeight="false" outlineLevel="0" collapsed="false">
      <c r="A48" s="8" t="s">
        <v>213</v>
      </c>
      <c r="B48" s="8" t="s">
        <v>214</v>
      </c>
      <c r="C48" s="8" t="s">
        <v>215</v>
      </c>
      <c r="D48" s="8" t="s">
        <v>216</v>
      </c>
      <c r="E48" s="8" t="s">
        <v>217</v>
      </c>
      <c r="F48" s="8" t="s">
        <v>218</v>
      </c>
      <c r="G48" s="8" t="s">
        <v>219</v>
      </c>
      <c r="H48" s="8" t="s">
        <v>220</v>
      </c>
    </row>
    <row r="49" customFormat="false" ht="23.85" hidden="false" customHeight="false" outlineLevel="0" collapsed="false">
      <c r="A49" s="7" t="s">
        <v>221</v>
      </c>
      <c r="B49" s="7" t="s">
        <v>222</v>
      </c>
      <c r="C49" s="7" t="s">
        <v>223</v>
      </c>
      <c r="D49" s="7" t="s">
        <v>224</v>
      </c>
      <c r="E49" s="7" t="s">
        <v>225</v>
      </c>
      <c r="F49" s="7" t="s">
        <v>226</v>
      </c>
      <c r="G49" s="7" t="s">
        <v>219</v>
      </c>
      <c r="H49" s="7" t="s">
        <v>203</v>
      </c>
    </row>
    <row r="50" customFormat="false" ht="15" hidden="false" customHeight="false" outlineLevel="0" collapsed="false">
      <c r="A50" s="8" t="s">
        <v>227</v>
      </c>
      <c r="B50" s="8" t="s">
        <v>228</v>
      </c>
      <c r="C50" s="8" t="s">
        <v>229</v>
      </c>
      <c r="D50" s="8" t="s">
        <v>230</v>
      </c>
      <c r="E50" s="8" t="s">
        <v>231</v>
      </c>
      <c r="F50" s="8" t="s">
        <v>232</v>
      </c>
      <c r="G50" s="8" t="s">
        <v>219</v>
      </c>
      <c r="H50" s="8" t="s">
        <v>233</v>
      </c>
    </row>
    <row r="51" customFormat="false" ht="23.85" hidden="false" customHeight="false" outlineLevel="0" collapsed="false">
      <c r="A51" s="7" t="s">
        <v>234</v>
      </c>
      <c r="B51" s="7" t="s">
        <v>235</v>
      </c>
      <c r="C51" s="7" t="s">
        <v>236</v>
      </c>
      <c r="D51" s="7" t="s">
        <v>237</v>
      </c>
      <c r="E51" s="7" t="s">
        <v>238</v>
      </c>
      <c r="F51" s="7" t="s">
        <v>239</v>
      </c>
      <c r="G51" s="7" t="s">
        <v>219</v>
      </c>
      <c r="H51" s="7" t="s">
        <v>233</v>
      </c>
    </row>
  </sheetData>
  <mergeCells count="5">
    <mergeCell ref="A1:H1"/>
    <mergeCell ref="A2:H2"/>
    <mergeCell ref="A3:H3"/>
    <mergeCell ref="A37:H37"/>
    <mergeCell ref="A46:H46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&amp;C&amp;"Calibri,Bold" benchmark_v3</oddHeader>
    <oddFooter>&amp;RPage &amp;P of &amp;N</oddFooter>
  </headerFooter>
  <tableParts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2026-07-30T11:45:56Z</dcterms:created>
  <dc:creator>openpyxl</dc:creator>
  <dc:description/>
  <dc:language>en-US</dc:language>
  <cp:lastModifiedBy/>
  <dcterms:modified xsi:type="dcterms:W3CDTF">2026-07-30T11:45:56Z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