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Primary Matrix" sheetId="2" state="visible" r:id="rId4"/>
    <sheet name="Sampling Audit" sheetId="3" state="visible" r:id="rId5"/>
    <sheet name="Existing Results" sheetId="4" state="visible" r:id="rId6"/>
    <sheet name="Ablation Matrix" sheetId="5" state="visible" r:id="rId7"/>
    <sheet name="Run Tracker" sheetId="6" state="visible" r:id="rId8"/>
    <sheet name="Metric Dictionary" sheetId="7" state="visible" r:id="rId9"/>
    <sheet name="Sources" sheetId="8" state="visible" r:id="rId10"/>
  </sheets>
  <definedNames>
    <definedName function="false" hidden="true" localSheetId="4" name="_xlnm._FilterDatabase" vbProcedure="false">'Ablation Matrix'!$A$1:$O$10</definedName>
    <definedName function="false" hidden="true" localSheetId="3" name="_xlnm._FilterDatabase" vbProcedure="false">'Existing Results'!$A$1:$T$7</definedName>
    <definedName function="false" hidden="true" localSheetId="6" name="_xlnm._FilterDatabase" vbProcedure="false">'Metric Dictionary'!$A$1:$G$12</definedName>
    <definedName function="false" hidden="true" localSheetId="1" name="_xlnm._FilterDatabase" vbProcedure="false">'Primary Matrix'!$A$1:$X$16</definedName>
    <definedName function="false" hidden="true" localSheetId="5" name="_xlnm._FilterDatabase" vbProcedure="false">'Run Tracker'!$A$1:$S$16</definedName>
    <definedName function="false" hidden="true" localSheetId="2" name="_xlnm._FilterDatabase" vbProcedure="false">'Sampling Audit'!$A$1:$N$34</definedName>
    <definedName function="false" hidden="true" localSheetId="7" name="_xlnm._FilterDatabase" vbProcedure="false">Sources!$A$1:$E$10</definedName>
    <definedName function="false" hidden="true" localSheetId="0" name="_xlnm._FilterDatabase" vbProcedure="false">'Start Here'!$A$1:$H$21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<sst xmlns="http://schemas.openxmlformats.org/spreadsheetml/2006/main" count="602" uniqueCount="264">
  <si>
    <t xml:space="preserve">CINE Model Benchmark Matrix</t>
  </si>
  <si>
    <t xml:space="preserve">Fillable workbook for the active 10-subject, variable-PE, FE=192 benchmark.</t>
  </si>
  <si>
    <t xml:space="preserve">Recommended decision</t>
  </si>
  <si>
    <t xml:space="preserve">Use the Primary Matrix as the main leaderboard: identical raw VISTA masks, external H5 dMap maps, fixed ten-case cohort, and identical GT/evaluation for every method.</t>
  </si>
  <si>
    <t xml:space="preserve">Why protocols are separated</t>
  </si>
  <si>
    <t xml:space="preserve">The established forced-ACS runs change the sampling pattern. Their acc8/acc16/acc24 labels are model-conditioning labels and may differ substantially from measured effective acceleration. Existing results therefore live on a separate sheet.</t>
  </si>
  <si>
    <t xml:space="preserve">Minimum defensible baselines</t>
  </si>
  <si>
    <t xml:space="preserve">Zero-filled RSS (sanity floor), CG-SENSE with external dMap (conventional baseline), and NV-Raw2Insights-MRI Base (zero-shot model). Add temporal-TV SENSE if time permits.</t>
  </si>
  <si>
    <t xml:space="preserve">Metric aggregation</t>
  </si>
  <si>
    <t xml:space="preserve">Compute metrics per 2D frame, average within each subject, then report the mean and 95% confidence interval across the ten subjects. Frame distributions are secondary and should not replace subject-level inference.</t>
  </si>
  <si>
    <t xml:space="preserve">Intensity scaling</t>
  </si>
  <si>
    <t xml:space="preserve">Use one case-level scale derived from the GT and apply it unchanged to every method. Keep independently normalized or scale-fitted results diagnostic and label them explicitly.</t>
  </si>
  <si>
    <t xml:space="preserve">Current progress</t>
  </si>
  <si>
    <t xml:space="preserve">Server audit on node-gpu-03 confirmed NV Base + external dMap + no-ACS inference for acc8, acc16, and acc24: 10/10 outputs per rate. Their quantitative metrics are still pending. The other nine method-rate combinations are not yet formally recorded.</t>
  </si>
  <si>
    <t xml:space="preserve">Legend</t>
  </si>
  <si>
    <t xml:space="preserve">User input</t>
  </si>
  <si>
    <t xml:space="preserve">Formula</t>
  </si>
  <si>
    <t xml:space="preserve">Recorded historical result</t>
  </si>
  <si>
    <t xml:space="preserve">Attention / incomplete</t>
  </si>
  <si>
    <t xml:space="preserve">Primary Benchmark Matrix</t>
  </si>
  <si>
    <t xml:space="preserve">Recommended comparison: raw VISTA masks, no forced ACS, external H5 dMap, fixed ten-case cohort.</t>
  </si>
  <si>
    <t xml:space="preserve">Method</t>
  </si>
  <si>
    <t xml:space="preserve">Category</t>
  </si>
  <si>
    <t xml:space="preserve">Learned?</t>
  </si>
  <si>
    <t xml:space="preserve">Parameters (M)</t>
  </si>
  <si>
    <t xml:space="preserve">Training on in-house data</t>
  </si>
  <si>
    <t xml:space="preserve">Sensitivity maps</t>
  </si>
  <si>
    <t xml:space="preserve">ACS protocol</t>
  </si>
  <si>
    <t xml:space="preserve">Mask seed</t>
  </si>
  <si>
    <t xml:space="preserve">Nominal label</t>
  </si>
  <si>
    <t xml:space="preserve">Mean effective R</t>
  </si>
  <si>
    <t xml:space="preserve">Cases</t>
  </si>
  <si>
    <t xml:space="preserve">Metric level</t>
  </si>
  <si>
    <t xml:space="preserve">PSNR mean</t>
  </si>
  <si>
    <t xml:space="preserve">PSNR 95% CI low</t>
  </si>
  <si>
    <t xml:space="preserve">PSNR 95% CI high</t>
  </si>
  <si>
    <t xml:space="preserve">SSIM mean</t>
  </si>
  <si>
    <t xml:space="preserve">SSIM 95% CI low</t>
  </si>
  <si>
    <t xml:space="preserve">SSIM 95% CI high</t>
  </si>
  <si>
    <t xml:space="preserve">NMSE mean</t>
  </si>
  <si>
    <t xml:space="preserve">NMSE 95% CI low</t>
  </si>
  <si>
    <t xml:space="preserve">NMSE 95% CI high</t>
  </si>
  <si>
    <t xml:space="preserve">Runtime / frame (s)</t>
  </si>
  <si>
    <t xml:space="preserve">Peak VRAM (GB)</t>
  </si>
  <si>
    <t xml:space="preserve">Status / notes</t>
  </si>
  <si>
    <t xml:space="preserve">Zero-filled RSS</t>
  </si>
  <si>
    <t xml:space="preserve">Sanity floor</t>
  </si>
  <si>
    <t xml:space="preserve">No</t>
  </si>
  <si>
    <t xml:space="preserve">Not required (RSS)</t>
  </si>
  <si>
    <t xml:space="preserve">Raw VISTA / no forced ACS</t>
  </si>
  <si>
    <t xml:space="preserve">Subject macro-average</t>
  </si>
  <si>
    <t xml:space="preserve">Not started</t>
  </si>
  <si>
    <t xml:space="preserve">CG-SENSE</t>
  </si>
  <si>
    <t xml:space="preserve">Conventional</t>
  </si>
  <si>
    <t xml:space="preserve">External H5 dMap</t>
  </si>
  <si>
    <t xml:space="preserve">Temporal-TV SENSE</t>
  </si>
  <si>
    <t xml:space="preserve">Iterative dynamic MRI</t>
  </si>
  <si>
    <t xml:space="preserve">NV-Raw2Insights Base</t>
  </si>
  <si>
    <t xml:space="preserve">Learned zero-shot</t>
  </si>
  <si>
    <t xml:space="preserve">Yes</t>
  </si>
  <si>
    <t xml:space="preserve">Inference complete; metrics pending</t>
  </si>
  <si>
    <t xml:space="preserve">Sampling Audit</t>
  </si>
  <si>
    <t xml:space="preserve">Verified on node-gpu-03: mean sampled PE lines per frame from each raw VISTA mask. Effective R is calculated as PE / sampled lines.</t>
  </si>
  <si>
    <t xml:space="preserve">Case</t>
  </si>
  <si>
    <t xml:space="preserve">PE</t>
  </si>
  <si>
    <t xml:space="preserve">FE</t>
  </si>
  <si>
    <t xml:space="preserve">Slices</t>
  </si>
  <si>
    <t xml:space="preserve">Frames</t>
  </si>
  <si>
    <t xml:space="preserve">Mean sampled PE lines / frame</t>
  </si>
  <si>
    <t xml:space="preserve">Effective R</t>
  </si>
  <si>
    <t xml:space="preserve">Sampling fraction</t>
  </si>
  <si>
    <t xml:space="preserve">Theoretical R cap</t>
  </si>
  <si>
    <t xml:space="preserve">Validation status</t>
  </si>
  <si>
    <t xml:space="preserve">Notes</t>
  </si>
  <si>
    <t xml:space="preserve">Sub0014</t>
  </si>
  <si>
    <t xml:space="preserve">N/A (no forced ACS)</t>
  </si>
  <si>
    <t xml:space="preserve">Verified</t>
  </si>
  <si>
    <t xml:space="preserve">node-gpu-03 audit, 2026-07-30; output exists; central 20 lines not fully filled</t>
  </si>
  <si>
    <t xml:space="preserve">Sub0026</t>
  </si>
  <si>
    <t xml:space="preserve">Sub0030</t>
  </si>
  <si>
    <t xml:space="preserve">Sub0047</t>
  </si>
  <si>
    <t xml:space="preserve">Sub0049</t>
  </si>
  <si>
    <t xml:space="preserve">Sub0051</t>
  </si>
  <si>
    <t xml:space="preserve">Sub0096</t>
  </si>
  <si>
    <t xml:space="preserve">Sub0105</t>
  </si>
  <si>
    <t xml:space="preserve">Sub0112</t>
  </si>
  <si>
    <t xml:space="preserve">Sub0122</t>
  </si>
  <si>
    <t xml:space="preserve">Existing Forced-ACS Results</t>
  </si>
  <si>
    <t xml:space="preserve">Historical pipeline baseline only. Do not merge with the raw-mask primary leaderboard.</t>
  </si>
  <si>
    <t xml:space="preserve">Frame rows</t>
  </si>
  <si>
    <t xml:space="preserve">PSNR std</t>
  </si>
  <si>
    <t xml:space="preserve">PSNR median</t>
  </si>
  <si>
    <t xml:space="preserve">NRMSE mean</t>
  </si>
  <si>
    <t xml:space="preserve">NRMSE std</t>
  </si>
  <si>
    <t xml:space="preserve">NMSE std</t>
  </si>
  <si>
    <t xml:space="preserve">MSE mean</t>
  </si>
  <si>
    <t xml:space="preserve">MSE std</t>
  </si>
  <si>
    <t xml:space="preserve">MAE mean</t>
  </si>
  <si>
    <t xml:space="preserve">MAE std</t>
  </si>
  <si>
    <t xml:space="preserve">Wall time (min)</t>
  </si>
  <si>
    <t xml:space="preserve">Status</t>
  </si>
  <si>
    <t xml:space="preserve">Source / caveat</t>
  </si>
  <si>
    <t xml:space="preserve">Internally estimated</t>
  </si>
  <si>
    <t xml:space="preserve">20 forced central PE lines</t>
  </si>
  <si>
    <t xml:space="preserve">Quality complete; timing incomplete</t>
  </si>
  <si>
    <t xml:space="preserve">CINE_benchmark_report.md; acc8 timing is a two-case resume run, not a fresh 10-case runtime.</t>
  </si>
  <si>
    <t xml:space="preserve">Complete</t>
  </si>
  <si>
    <t xml:space="preserve">CINE_benchmark_report.md; full 10-case run on node-gpu-01.</t>
  </si>
  <si>
    <t xml:space="preserve">Pending</t>
  </si>
  <si>
    <t xml:space="preserve">CINE_benchmark_report.md; inference timing and metrics not recorded.</t>
  </si>
  <si>
    <t xml:space="preserve">Sensitivity-Map and ACS Ablations</t>
  </si>
  <si>
    <t xml:space="preserve">Keep these experiments separate from the method leaderboard; change one factor at a time where feasible.</t>
  </si>
  <si>
    <t xml:space="preserve">Ablation ID</t>
  </si>
  <si>
    <t xml:space="preserve">Model</t>
  </si>
  <si>
    <t xml:space="preserve">Mask / ACS</t>
  </si>
  <si>
    <t xml:space="preserve">Purpose</t>
  </si>
  <si>
    <t xml:space="preserve">PSNR</t>
  </si>
  <si>
    <t xml:space="preserve">SSIM</t>
  </si>
  <si>
    <t xml:space="preserve">NMSE</t>
  </si>
  <si>
    <t xml:space="preserve">Attribution caution</t>
  </si>
  <si>
    <t xml:space="preserve">Output root / notes</t>
  </si>
  <si>
    <t xml:space="preserve">A1</t>
  </si>
  <si>
    <t xml:space="preserve">NV Base</t>
  </si>
  <si>
    <t xml:space="preserve">Internal estimate</t>
  </si>
  <si>
    <t xml:space="preserve">20 forced ACS lines</t>
  </si>
  <si>
    <t xml:space="preserve">Released-style compatibility baseline</t>
  </si>
  <si>
    <t xml:space="preserve">Quality complete</t>
  </si>
  <si>
    <t xml:space="preserve">Reference condition</t>
  </si>
  <si>
    <t xml:space="preserve">output/CINE_test_acc8</t>
  </si>
  <si>
    <t xml:space="preserve">A2</t>
  </si>
  <si>
    <t xml:space="preserve">Isolate sensitivity-map source</t>
  </si>
  <si>
    <t xml:space="preserve">Compare A1 vs A2</t>
  </si>
  <si>
    <t xml:space="preserve">A3</t>
  </si>
  <si>
    <t xml:space="preserve">Native sampling with supplied maps</t>
  </si>
  <si>
    <t xml:space="preserve">Compare A2 vs A3 for ACS effect</t>
  </si>
  <si>
    <t xml:space="preserve">output/h5_converted; 10/10 finite outputs</t>
  </si>
  <si>
    <t xml:space="preserve">A4</t>
  </si>
  <si>
    <t xml:space="preserve">Same protocol as A3; mask rate changed</t>
  </si>
  <si>
    <t xml:space="preserve">output/h5_converted_acc16; 10/10 finite outputs</t>
  </si>
  <si>
    <t xml:space="preserve">A5</t>
  </si>
  <si>
    <t xml:space="preserve">output/h5_converted_acc24; 10/10 finite outputs</t>
  </si>
  <si>
    <t xml:space="preserve">A6</t>
  </si>
  <si>
    <t xml:space="preserve">Stress test internal CSM without filled center</t>
  </si>
  <si>
    <t xml:space="preserve">Not planned</t>
  </si>
  <si>
    <t xml:space="preserve">May be invalid/fail because ACS is absent</t>
  </si>
  <si>
    <t xml:space="preserve">Run Tracker</t>
  </si>
  <si>
    <t xml:space="preserve">One row per method × nominal mask label. Record exact inputs, code state, hardware, output, and completion evidence.</t>
  </si>
  <si>
    <t xml:space="preserve">Run ID</t>
  </si>
  <si>
    <t xml:space="preserve">Protocol</t>
  </si>
  <si>
    <t xml:space="preserve">Dataset root</t>
  </si>
  <si>
    <t xml:space="preserve">Output root</t>
  </si>
  <si>
    <t xml:space="preserve">Config / command</t>
  </si>
  <si>
    <t xml:space="preserve">Checkpoint</t>
  </si>
  <si>
    <t xml:space="preserve">Git commit</t>
  </si>
  <si>
    <t xml:space="preserve">Node / GPU</t>
  </si>
  <si>
    <t xml:space="preserve">Start time</t>
  </si>
  <si>
    <t xml:space="preserve">End time</t>
  </si>
  <si>
    <t xml:space="preserve">Cases expected</t>
  </si>
  <si>
    <t xml:space="preserve">Cases complete</t>
  </si>
  <si>
    <t xml:space="preserve">Completion %</t>
  </si>
  <si>
    <t xml:space="preserve">Validation</t>
  </si>
  <si>
    <t xml:space="preserve">Zerofilled_R8</t>
  </si>
  <si>
    <t xml:space="preserve">Raw VISTA / external dMap</t>
  </si>
  <si>
    <t xml:space="preserve">Zerofilled_R16</t>
  </si>
  <si>
    <t xml:space="preserve">Zerofilled_R24</t>
  </si>
  <si>
    <t xml:space="preserve">CGSENSE_R8</t>
  </si>
  <si>
    <t xml:space="preserve">CGSENSE_R16</t>
  </si>
  <si>
    <t xml:space="preserve">CGSENSE_R24</t>
  </si>
  <si>
    <t xml:space="preserve">TemporalTV_R8</t>
  </si>
  <si>
    <t xml:space="preserve">TemporalTV_R16</t>
  </si>
  <si>
    <t xml:space="preserve">TemporalTV_R24</t>
  </si>
  <si>
    <t xml:space="preserve">NVRaw2Insights_R8</t>
  </si>
  <si>
    <t xml:space="preserve">dataset/h5_converted</t>
  </si>
  <si>
    <t xml:space="preserve">output/h5_converted</t>
  </si>
  <si>
    <t xml:space="preserve">Server GPU; run already completed</t>
  </si>
  <si>
    <t xml:space="preserve">node-gpu-03 audit, 2026-07-30: 10/10 finite outputs; no forced 20-line ACS</t>
  </si>
  <si>
    <t xml:space="preserve">NVRaw2Insights_R16</t>
  </si>
  <si>
    <t xml:space="preserve">dataset/h5_converted_acc16</t>
  </si>
  <si>
    <t xml:space="preserve">output/h5_converted_acc16</t>
  </si>
  <si>
    <t xml:space="preserve">NVRaw2Insights_R24</t>
  </si>
  <si>
    <t xml:space="preserve">dataset/h5_converted_acc24</t>
  </si>
  <si>
    <t xml:space="preserve">output/h5_converted_acc24</t>
  </si>
  <si>
    <t xml:space="preserve">Metric and Reporting Dictionary</t>
  </si>
  <si>
    <t xml:space="preserve">Definitions and decisions to keep all methods comparable.</t>
  </si>
  <si>
    <t xml:space="preserve">Field</t>
  </si>
  <si>
    <t xml:space="preserve">Primary definition</t>
  </si>
  <si>
    <t xml:space="preserve">Aggregation</t>
  </si>
  <si>
    <t xml:space="preserve">Direction</t>
  </si>
  <si>
    <t xml:space="preserve">Required?</t>
  </si>
  <si>
    <t xml:space="preserve">Caution</t>
  </si>
  <si>
    <t xml:space="preserve">Source / implementation</t>
  </si>
  <si>
    <t xml:space="preserve">20 log10(GT data range / RMSE)</t>
  </si>
  <si>
    <t xml:space="preserve">Frame → subject mean → cohort mean and 95% CI</t>
  </si>
  <si>
    <t xml:space="preserve">Higher</t>
  </si>
  <si>
    <t xml:space="preserve">Use a single GT-derived case scale for all methods.</t>
  </si>
  <si>
    <t xml:space="preserve">Evaluation script; dImgC GT</t>
  </si>
  <si>
    <t xml:space="preserve">2D structural similarity using GT frame data range</t>
  </si>
  <si>
    <t xml:space="preserve">Currently absent from evaluate_cine_mat_gt_metrics.py.</t>
  </si>
  <si>
    <t xml:space="preserve">Add consistently for every method</t>
  </si>
  <si>
    <t xml:space="preserve">sum((prediction-GT)^2) / sum(GT^2)</t>
  </si>
  <si>
    <t xml:space="preserve">Lower</t>
  </si>
  <si>
    <t xml:space="preserve">Do not independently scale-fit each method for primary reporting.</t>
  </si>
  <si>
    <t xml:space="preserve">Evaluation script</t>
  </si>
  <si>
    <t xml:space="preserve">NRMSE</t>
  </si>
  <si>
    <t xml:space="preserve">sqrt(sum(error^2)) / ||GT||</t>
  </si>
  <si>
    <t xml:space="preserve">Secondary</t>
  </si>
  <si>
    <t xml:space="preserve">Optional</t>
  </si>
  <si>
    <t xml:space="preserve">NRMSE is sqrt(NMSE); reporting both can be redundant.</t>
  </si>
  <si>
    <t xml:space="preserve">Existing report</t>
  </si>
  <si>
    <t xml:space="preserve">PE / mean sampled PE lines per frame</t>
  </si>
  <si>
    <t xml:space="preserve">Report per case; optionally subject mean by nominal label</t>
  </si>
  <si>
    <t xml:space="preserve">Context</t>
  </si>
  <si>
    <t xml:space="preserve">Nominal conditioning label is not the measured acceleration.</t>
  </si>
  <si>
    <t xml:space="preserve">Sampling Audit formulas</t>
  </si>
  <si>
    <t xml:space="preserve">Runtime/frame</t>
  </si>
  <si>
    <t xml:space="preserve">Total measured reconstruction time / reconstructed frames</t>
  </si>
  <si>
    <t xml:space="preserve">Median and IQR over cases on one fixed GPU</t>
  </si>
  <si>
    <t xml:space="preserve">Do not compare timings from different nodes or resumed runs.</t>
  </si>
  <si>
    <t xml:space="preserve">Run logs</t>
  </si>
  <si>
    <t xml:space="preserve">Peak VRAM</t>
  </si>
  <si>
    <t xml:space="preserve">Maximum allocated GPU memory during reconstruction</t>
  </si>
  <si>
    <t xml:space="preserve">One value per method/configuration</t>
  </si>
  <si>
    <t xml:space="preserve">Recommended</t>
  </si>
  <si>
    <t xml:space="preserve">Measure with identical batch/window settings.</t>
  </si>
  <si>
    <t xml:space="preserve">Confidence interval</t>
  </si>
  <si>
    <t xml:space="preserve">Paired subject-level 95% bootstrap CI</t>
  </si>
  <si>
    <t xml:space="preserve">Ten subjects are the statistical units</t>
  </si>
  <si>
    <t xml:space="preserve">Do not treat 2,975 correlated frames as independent subjects.</t>
  </si>
  <si>
    <t xml:space="preserve">Benchmark policy</t>
  </si>
  <si>
    <t xml:space="preserve">Workbook Sources</t>
  </si>
  <si>
    <t xml:space="preserve">Local project records used to prepopulate the workbook.</t>
  </si>
  <si>
    <t xml:space="preserve">Source</t>
  </si>
  <si>
    <t xml:space="preserve">Date / version</t>
  </si>
  <si>
    <t xml:space="preserve">Used for</t>
  </si>
  <si>
    <t xml:space="preserve">Important limitation</t>
  </si>
  <si>
    <t xml:space="preserve">Local path</t>
  </si>
  <si>
    <t xml:space="preserve">CINE benchmark report</t>
  </si>
  <si>
    <t xml:space="preserve">2026-07-12</t>
  </si>
  <si>
    <t xml:space="preserve">Cohort, shape summary, acc8/acc16 quality, timing status</t>
  </si>
  <si>
    <t xml:space="preserve">acc8 runtime is resumed; acc24 pending</t>
  </si>
  <si>
    <t xml:space="preserve">docs/CINE_benchmark_report.md</t>
  </si>
  <si>
    <t xml:space="preserve">Active CINE SOP</t>
  </si>
  <si>
    <t xml:space="preserve">Current repo</t>
  </si>
  <si>
    <t xml:space="preserve">Dataset roots, masks, commands, evaluation protocol</t>
  </si>
  <si>
    <t xml:space="preserve">Forced ACS changes effective sampling</t>
  </si>
  <si>
    <t xml:space="preserve">docs/NV-Raw2insights-MRI_SOP.md</t>
  </si>
  <si>
    <t xml:space="preserve">External dMap no-ACS log</t>
  </si>
  <si>
    <t xml:space="preserve">2026-07-14 to 2026-07-15</t>
  </si>
  <si>
    <t xml:space="preserve">Documented external dMap raw-mask acc8 run</t>
  </si>
  <si>
    <t xml:space="preserve">Local dated log covers acc8 only</t>
  </si>
  <si>
    <t xml:space="preserve">docs/history/2026-07-14-h5-dmap-noacs-acc8-inference.md</t>
  </si>
  <si>
    <t xml:space="preserve">node-gpu-03 server audit</t>
  </si>
  <si>
    <t xml:space="preserve">2026-07-30</t>
  </si>
  <si>
    <t xml:space="preserve">Verified acc8/16/24 no-ACS masks and 10/10 finite outputs per rate</t>
  </si>
  <si>
    <t xml:space="preserve">Quantitative metric CSVs not found</t>
  </si>
  <si>
    <t xml:space="preserve">dataset/h5_converted*; output/h5_converted*</t>
  </si>
  <si>
    <t xml:space="preserve">MAT GT evaluator</t>
  </si>
  <si>
    <t xml:space="preserve">Existing PSNR/NRMSE/NMSE definitions</t>
  </si>
  <si>
    <t xml:space="preserve">No SSIM; current aggregation is frame-level</t>
  </si>
  <si>
    <t xml:space="preserve">scripts/evaluate_cine_mat_gt_metrics.py</t>
  </si>
  <si>
    <t xml:space="preserve">Qualitative/evaluation helper</t>
  </si>
  <si>
    <t xml:space="preserve">Zero-filled RSS construction and optional normalization</t>
  </si>
  <si>
    <t xml:space="preserve">Independent max normalization should not be primary</t>
  </si>
  <si>
    <t xml:space="preserve">scripts/evaluate_and_plot_cine_dimgc.py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</si>
</sst>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0\x"/>
    <numFmt numFmtId="167" formatCode="0.000"/>
    <numFmt numFmtId="168" formatCode="0.0"/>
    <numFmt numFmtId="169" formatCode="0.0%"/>
    <numFmt numFmtId="170" formatCode="yyyy\-mm\-dd\ hh:mm"/>
    <numFmt numFmtId="171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17365D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EAF2F8"/>
        <bgColor rgb="FFF3F4F6"/>
      </patternFill>
    </fill>
    <fill>
      <patternFill patternType="solid">
        <fgColor rgb="FFD9EAF7"/>
        <bgColor rgb="FFEAF2F8"/>
      </patternFill>
    </fill>
    <fill>
      <patternFill patternType="solid">
        <fgColor rgb="FF4472C4"/>
        <bgColor rgb="FF4F81BD"/>
      </patternFill>
    </fill>
    <fill>
      <patternFill patternType="solid">
        <fgColor rgb="FFFFF2CC"/>
        <bgColor rgb="FFFCE4D6"/>
      </patternFill>
    </fill>
    <fill>
      <patternFill patternType="solid">
        <fgColor rgb="FFE2F0D9"/>
        <bgColor rgb="FFEAF2F8"/>
      </patternFill>
    </fill>
    <fill>
      <patternFill patternType="solid">
        <fgColor rgb="FFFCE4D6"/>
        <bgColor rgb="FFFFF2CC"/>
      </patternFill>
    </fill>
    <fill>
      <patternFill patternType="solid">
        <fgColor rgb="FFF3F4F6"/>
        <bgColor rgb="FFEA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17365D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AF2F8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16" type="wholeTable"/>
      <tableStyleElement dxfId="17" type="firstColumnStripe"/>
      <tableStyleElement dxfId="18" type="firstRowStripe"/>
      <tableStyleElement dxfId="19" type="lastColumn"/>
      <tableStyleElement dxfId="20" type="firstColumn"/>
      <tableStyleElement dxfId="21" type="headerRow"/>
      <tableStyleElement dxfId="22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2F0D9"/>
      <rgbColor rgb="FFF3F4F6"/>
      <rgbColor rgb="FF95B3D7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blationPlan" displayName="AblationPlan" ref="A4:O10" headerRowCount="1" totalsRowCount="0" totalsRowShown="0">
  <autoFilter ref="A4:O10"/>
  <tableColumns count="15">
    <tableColumn id="1" name="Ablation ID"/>
    <tableColumn id="2" name="Model"/>
    <tableColumn id="3" name="Sensitivity maps"/>
    <tableColumn id="4" name="Mask / ACS"/>
    <tableColumn id="5" name="Nominal label"/>
    <tableColumn id="6" name="Effective R"/>
    <tableColumn id="7" name="Purpose"/>
    <tableColumn id="8" name="Cases"/>
    <tableColumn id="9" name="PSNR"/>
    <tableColumn id="10" name="SSIM"/>
    <tableColumn id="11" name="NMSE"/>
    <tableColumn id="12" name="Runtime / frame (s)"/>
    <tableColumn id="13" name="Status"/>
    <tableColumn id="14" name="Attribution caution"/>
    <tableColumn id="15" name="Output root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istingResults" displayName="ExistingResults" ref="A4:T7" headerRowCount="1" totalsRowCount="0" totalsRowShown="0">
  <autoFilter ref="A4:T7"/>
  <tableColumns count="20">
    <tableColumn id="1" name="Method"/>
    <tableColumn id="2" name="Sensitivity maps"/>
    <tableColumn id="3" name="ACS protocol"/>
    <tableColumn id="4" name="Nominal label"/>
    <tableColumn id="5" name="Cases"/>
    <tableColumn id="6" name="Frame rows"/>
    <tableColumn id="7" name="PSNR mean"/>
    <tableColumn id="8" name="PSNR std"/>
    <tableColumn id="9" name="PSNR median"/>
    <tableColumn id="10" name="NRMSE mean"/>
    <tableColumn id="11" name="NRMSE std"/>
    <tableColumn id="12" name="NMSE mean"/>
    <tableColumn id="13" name="NMSE std"/>
    <tableColumn id="14" name="MSE mean"/>
    <tableColumn id="15" name="MSE std"/>
    <tableColumn id="16" name="MAE mean"/>
    <tableColumn id="17" name="MAE std"/>
    <tableColumn id="18" name="Wall time (min)"/>
    <tableColumn id="19" name="Status"/>
    <tableColumn id="20" name="Source / cave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tricDictionary" displayName="MetricDictionary" ref="A4:G12" headerRowCount="1" totalsRowCount="0" totalsRowShown="0">
  <autoFilter ref="A4:G12"/>
  <tableColumns count="7">
    <tableColumn id="1" name="Field"/>
    <tableColumn id="2" name="Primary definition"/>
    <tableColumn id="3" name="Aggregation"/>
    <tableColumn id="4" name="Direction"/>
    <tableColumn id="5" name="Required?"/>
    <tableColumn id="6" name="Caution"/>
    <tableColumn id="7" name="Source / implement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imaryBenchmark" displayName="PrimaryBenchmark" ref="A4:X16" headerRowCount="1" totalsRowCount="0" totalsRowShown="0">
  <autoFilter ref="A4:X16"/>
  <tableColumns count="24">
    <tableColumn id="1" name="Method"/>
    <tableColumn id="2" name="Category"/>
    <tableColumn id="3" name="Learned?"/>
    <tableColumn id="4" name="Parameters (M)"/>
    <tableColumn id="5" name="Training on in-house data"/>
    <tableColumn id="6" name="Sensitivity maps"/>
    <tableColumn id="7" name="ACS protocol"/>
    <tableColumn id="8" name="Mask seed"/>
    <tableColumn id="9" name="Nominal label"/>
    <tableColumn id="10" name="Mean effective R"/>
    <tableColumn id="11" name="Cases"/>
    <tableColumn id="12" name="Metric level"/>
    <tableColumn id="13" name="PSNR mean"/>
    <tableColumn id="14" name="PSNR 95% CI low"/>
    <tableColumn id="15" name="PSNR 95% CI high"/>
    <tableColumn id="16" name="SSIM mean"/>
    <tableColumn id="17" name="SSIM 95% CI low"/>
    <tableColumn id="18" name="SSIM 95% CI high"/>
    <tableColumn id="19" name="NMSE mean"/>
    <tableColumn id="20" name="NMSE 95% CI low"/>
    <tableColumn id="21" name="NMSE 95% CI high"/>
    <tableColumn id="22" name="Runtime / frame (s)"/>
    <tableColumn id="23" name="Peak VRAM (GB)"/>
    <tableColumn id="24" name="Status /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unTracker" displayName="RunTracker" ref="A4:S16" headerRowCount="1" totalsRowCount="0" totalsRowShown="0">
  <autoFilter ref="A4:S16"/>
  <tableColumns count="19">
    <tableColumn id="1" name="Run ID"/>
    <tableColumn id="2" name="Method"/>
    <tableColumn id="3" name="Protocol"/>
    <tableColumn id="4" name="Nominal label"/>
    <tableColumn id="5" name="Dataset root"/>
    <tableColumn id="6" name="Output root"/>
    <tableColumn id="7" name="Config / command"/>
    <tableColumn id="8" name="Checkpoint"/>
    <tableColumn id="9" name="Git commit"/>
    <tableColumn id="10" name="Node / GPU"/>
    <tableColumn id="11" name="Start time"/>
    <tableColumn id="12" name="End time"/>
    <tableColumn id="13" name="Wall time (min)"/>
    <tableColumn id="14" name="Cases expected"/>
    <tableColumn id="15" name="Cases complete"/>
    <tableColumn id="16" name="Completion %"/>
    <tableColumn id="17" name="Validation"/>
    <tableColumn id="18" name="Status"/>
    <tableColumn id="19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amplingAudit" displayName="SamplingAudit" ref="A4:N34" headerRowCount="1" totalsRowCount="0" totalsRowShown="0">
  <autoFilter ref="A4:N34"/>
  <tableColumns count="14">
    <tableColumn id="1" name="Case"/>
    <tableColumn id="2" name="PE"/>
    <tableColumn id="3" name="FE"/>
    <tableColumn id="4" name="Slices"/>
    <tableColumn id="5" name="Frames"/>
    <tableColumn id="6" name="Nominal label"/>
    <tableColumn id="7" name="Mask seed"/>
    <tableColumn id="8" name="ACS protocol"/>
    <tableColumn id="9" name="Mean sampled PE lines / frame"/>
    <tableColumn id="10" name="Effective R"/>
    <tableColumn id="11" name="Sampling fraction"/>
    <tableColumn id="12" name="Theoretical R cap"/>
    <tableColumn id="13" name="Validation status"/>
    <tableColumn id="14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WorkbookSources" displayName="WorkbookSources" ref="A4:E10" headerRowCount="1" totalsRowCount="0" totalsRowShown="0">
  <autoFilter ref="A4:E10"/>
  <tableColumns count="5">
    <tableColumn id="1" name="Source"/>
    <tableColumn id="2" name="Date / version"/>
    <tableColumn id="3" name="Used for"/>
    <tableColumn id="4" name="Important limitation"/>
    <tableColumn id="5" name="Local 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"/>
    <col collapsed="false" customWidth="true" hidden="false" outlineLevel="0" max="3" min="3" style="0" width="22"/>
    <col collapsed="false" customWidth="true" hidden="false" outlineLevel="0" max="8" min="4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45.75" hidden="false" customHeight="tru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</row>
    <row r="6" customFormat="false" ht="45.75" hidden="false" customHeight="true" outlineLevel="0" collapsed="false">
      <c r="A6" s="3" t="s">
        <v>4</v>
      </c>
      <c r="B6" s="3"/>
      <c r="C6" s="4" t="s">
        <v>5</v>
      </c>
      <c r="D6" s="4"/>
      <c r="E6" s="4"/>
      <c r="F6" s="4"/>
      <c r="G6" s="4"/>
      <c r="H6" s="4"/>
    </row>
    <row r="8" customFormat="false" ht="45.75" hidden="false" customHeight="true" outlineLevel="0" collapsed="false">
      <c r="A8" s="3" t="s">
        <v>6</v>
      </c>
      <c r="B8" s="3"/>
      <c r="C8" s="4" t="s">
        <v>7</v>
      </c>
      <c r="D8" s="4"/>
      <c r="E8" s="4"/>
      <c r="F8" s="4"/>
      <c r="G8" s="4"/>
      <c r="H8" s="4"/>
    </row>
    <row r="10" customFormat="false" ht="45.75" hidden="false" customHeight="true" outlineLevel="0" collapsed="false">
      <c r="A10" s="3" t="s">
        <v>8</v>
      </c>
      <c r="B10" s="3"/>
      <c r="C10" s="4" t="s">
        <v>9</v>
      </c>
      <c r="D10" s="4"/>
      <c r="E10" s="4"/>
      <c r="F10" s="4"/>
      <c r="G10" s="4"/>
      <c r="H10" s="4"/>
    </row>
    <row r="12" customFormat="false" ht="45.75" hidden="false" customHeight="true" outlineLevel="0" collapsed="false">
      <c r="A12" s="3" t="s">
        <v>10</v>
      </c>
      <c r="B12" s="3"/>
      <c r="C12" s="4" t="s">
        <v>11</v>
      </c>
      <c r="D12" s="4"/>
      <c r="E12" s="4"/>
      <c r="F12" s="4"/>
      <c r="G12" s="4"/>
      <c r="H12" s="4"/>
    </row>
    <row r="14" customFormat="false" ht="45.75" hidden="false" customHeight="true" outlineLevel="0" collapsed="false">
      <c r="A14" s="3" t="s">
        <v>12</v>
      </c>
      <c r="B14" s="3"/>
      <c r="C14" s="4" t="s">
        <v>13</v>
      </c>
      <c r="D14" s="4"/>
      <c r="E14" s="4"/>
      <c r="F14" s="4"/>
      <c r="G14" s="4"/>
      <c r="H14" s="4"/>
    </row>
    <row r="17" customFormat="false" ht="15" hidden="false" customHeight="false" outlineLevel="0" collapsed="false">
      <c r="A17" s="5" t="s">
        <v>14</v>
      </c>
    </row>
    <row r="18" customFormat="false" ht="15" hidden="false" customHeight="false" outlineLevel="0" collapsed="false">
      <c r="A18" s="6" t="s">
        <v>15</v>
      </c>
    </row>
    <row r="19" customFormat="false" ht="15" hidden="false" customHeight="false" outlineLevel="0" collapsed="false">
      <c r="A19" s="7" t="s">
        <v>16</v>
      </c>
    </row>
    <row r="20" customFormat="false" ht="15" hidden="false" customHeight="false" outlineLevel="0" collapsed="false">
      <c r="A20" s="8" t="s">
        <v>17</v>
      </c>
    </row>
    <row r="21" customFormat="false" ht="15" hidden="false" customHeight="false" outlineLevel="0" collapsed="false">
      <c r="A21" s="9" t="s">
        <v>18</v>
      </c>
    </row>
  </sheetData>
  <autoFilter ref="A1:H21">
    <filterColumn colId="0" hiddenButton="1"/>
  </autoFilter>
  <mergeCells count="14">
    <mergeCell ref="A1:H1"/>
    <mergeCell ref="A2:H2"/>
    <mergeCell ref="A4:B4"/>
    <mergeCell ref="C4:H4"/>
    <mergeCell ref="A6:B6"/>
    <mergeCell ref="C6:H6"/>
    <mergeCell ref="A8:B8"/>
    <mergeCell ref="C8:H8"/>
    <mergeCell ref="A10:B10"/>
    <mergeCell ref="C10:H10"/>
    <mergeCell ref="A12:B12"/>
    <mergeCell ref="C12:H12"/>
    <mergeCell ref="A14:B14"/>
    <mergeCell ref="C14:H14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&amp;C&amp;"Calibri,Bold" CINE Model Benchmark Matrix</oddHeader>
    <oddFooter>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X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2" min="12" style="0" width="22"/>
    <col collapsed="false" customWidth="true" hidden="false" outlineLevel="0" max="13" min="13" style="0" width="13"/>
    <col collapsed="false" customWidth="true" hidden="false" outlineLevel="0" max="15" min="14" style="0" width="15"/>
    <col collapsed="false" customWidth="true" hidden="false" outlineLevel="0" max="16" min="16" style="0" width="13"/>
    <col collapsed="false" customWidth="true" hidden="false" outlineLevel="0" max="18" min="17" style="0" width="15"/>
    <col collapsed="false" customWidth="true" hidden="false" outlineLevel="0" max="19" min="19" style="0" width="13"/>
    <col collapsed="false" customWidth="true" hidden="false" outlineLevel="0" max="21" min="20" style="0" width="15"/>
    <col collapsed="false" customWidth="true" hidden="false" outlineLevel="0" max="22" min="22" style="0" width="17"/>
    <col collapsed="false" customWidth="true" hidden="false" outlineLevel="0" max="23" min="23" style="0" width="16"/>
    <col collapsed="false" customWidth="true" hidden="false" outlineLevel="0" max="24" min="24" style="0" width="28"/>
  </cols>
  <sheetData>
    <row r="1" customFormat="false" ht="30" hidden="false" customHeight="true" outlineLevel="0" collapsed="false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31.5" hidden="false" customHeight="true" outlineLevel="0" collapsed="false">
      <c r="A2" s="2" t="s">
        <v>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customFormat="false" ht="33.75" hidden="false" customHeight="true" outlineLevel="0" collapsed="false">
      <c r="A4" s="10" t="s">
        <v>21</v>
      </c>
      <c r="B4" s="10" t="s">
        <v>22</v>
      </c>
      <c r="C4" s="10" t="s">
        <v>23</v>
      </c>
      <c r="D4" s="10" t="s">
        <v>24</v>
      </c>
      <c r="E4" s="10" t="s">
        <v>25</v>
      </c>
      <c r="F4" s="10" t="s">
        <v>26</v>
      </c>
      <c r="G4" s="10" t="s">
        <v>27</v>
      </c>
      <c r="H4" s="10" t="s">
        <v>28</v>
      </c>
      <c r="I4" s="10" t="s">
        <v>29</v>
      </c>
      <c r="J4" s="10" t="s">
        <v>30</v>
      </c>
      <c r="K4" s="10" t="s">
        <v>31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36</v>
      </c>
      <c r="Q4" s="10" t="s">
        <v>37</v>
      </c>
      <c r="R4" s="10" t="s">
        <v>38</v>
      </c>
      <c r="S4" s="10" t="s">
        <v>39</v>
      </c>
      <c r="T4" s="10" t="s">
        <v>40</v>
      </c>
      <c r="U4" s="10" t="s">
        <v>41</v>
      </c>
      <c r="V4" s="10" t="s">
        <v>42</v>
      </c>
      <c r="W4" s="10" t="s">
        <v>43</v>
      </c>
      <c r="X4" s="10" t="s">
        <v>44</v>
      </c>
    </row>
    <row r="5" customFormat="false" ht="15" hidden="false" customHeight="false" outlineLevel="0" collapsed="false">
      <c r="A5" s="11" t="s">
        <v>45</v>
      </c>
      <c r="B5" s="11" t="s">
        <v>46</v>
      </c>
      <c r="C5" s="11" t="s">
        <v>47</v>
      </c>
      <c r="D5" s="12" t="n">
        <v>0</v>
      </c>
      <c r="E5" s="11" t="s">
        <v>47</v>
      </c>
      <c r="F5" s="11" t="s">
        <v>48</v>
      </c>
      <c r="G5" s="11" t="s">
        <v>49</v>
      </c>
      <c r="H5" s="11" t="n">
        <v>8</v>
      </c>
      <c r="I5" s="11" t="n">
        <v>8</v>
      </c>
      <c r="J5" s="13" t="n">
        <f aca="false">IFERROR(AVERAGEIF('Sampling Audit'!$F$5:$F$34,I5,'Sampling Audit'!$J$5:$J$34),"")</f>
        <v>7.90909090909091</v>
      </c>
      <c r="K5" s="11" t="n">
        <v>10</v>
      </c>
      <c r="L5" s="11" t="s">
        <v>50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5"/>
      <c r="X5" s="16" t="s">
        <v>51</v>
      </c>
    </row>
    <row r="6" customFormat="false" ht="15" hidden="false" customHeight="false" outlineLevel="0" collapsed="false">
      <c r="A6" s="17" t="s">
        <v>45</v>
      </c>
      <c r="B6" s="17" t="s">
        <v>46</v>
      </c>
      <c r="C6" s="17" t="s">
        <v>47</v>
      </c>
      <c r="D6" s="18" t="n">
        <v>0</v>
      </c>
      <c r="E6" s="17" t="s">
        <v>47</v>
      </c>
      <c r="F6" s="17" t="s">
        <v>48</v>
      </c>
      <c r="G6" s="17" t="s">
        <v>49</v>
      </c>
      <c r="H6" s="17" t="n">
        <v>8</v>
      </c>
      <c r="I6" s="17" t="n">
        <v>16</v>
      </c>
      <c r="J6" s="13" t="n">
        <f aca="false">IFERROR(AVERAGEIF('Sampling Audit'!$F$5:$F$34,I6,'Sampling Audit'!$J$5:$J$34),"")</f>
        <v>15.8181818181818</v>
      </c>
      <c r="K6" s="17" t="n">
        <v>10</v>
      </c>
      <c r="L6" s="17" t="s">
        <v>50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5"/>
      <c r="X6" s="16" t="s">
        <v>51</v>
      </c>
    </row>
    <row r="7" customFormat="false" ht="15" hidden="false" customHeight="false" outlineLevel="0" collapsed="false">
      <c r="A7" s="11" t="s">
        <v>45</v>
      </c>
      <c r="B7" s="11" t="s">
        <v>46</v>
      </c>
      <c r="C7" s="11" t="s">
        <v>47</v>
      </c>
      <c r="D7" s="12" t="n">
        <v>0</v>
      </c>
      <c r="E7" s="11" t="s">
        <v>47</v>
      </c>
      <c r="F7" s="11" t="s">
        <v>48</v>
      </c>
      <c r="G7" s="11" t="s">
        <v>49</v>
      </c>
      <c r="H7" s="11" t="n">
        <v>8</v>
      </c>
      <c r="I7" s="11" t="n">
        <v>24</v>
      </c>
      <c r="J7" s="13" t="n">
        <f aca="false">IFERROR(AVERAGEIF('Sampling Audit'!$F$5:$F$34,I7,'Sampling Audit'!$J$5:$J$34),"")</f>
        <v>24.9642857142857</v>
      </c>
      <c r="K7" s="11" t="n">
        <v>10</v>
      </c>
      <c r="L7" s="11" t="s">
        <v>50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5"/>
      <c r="X7" s="16" t="s">
        <v>51</v>
      </c>
    </row>
    <row r="8" customFormat="false" ht="15" hidden="false" customHeight="false" outlineLevel="0" collapsed="false">
      <c r="A8" s="17" t="s">
        <v>52</v>
      </c>
      <c r="B8" s="17" t="s">
        <v>53</v>
      </c>
      <c r="C8" s="17" t="s">
        <v>47</v>
      </c>
      <c r="D8" s="18" t="n">
        <v>0</v>
      </c>
      <c r="E8" s="17" t="s">
        <v>47</v>
      </c>
      <c r="F8" s="17" t="s">
        <v>54</v>
      </c>
      <c r="G8" s="17" t="s">
        <v>49</v>
      </c>
      <c r="H8" s="17" t="n">
        <v>8</v>
      </c>
      <c r="I8" s="17" t="n">
        <v>8</v>
      </c>
      <c r="J8" s="13" t="n">
        <f aca="false">IFERROR(AVERAGEIF('Sampling Audit'!$F$5:$F$34,I8,'Sampling Audit'!$J$5:$J$34),"")</f>
        <v>7.90909090909091</v>
      </c>
      <c r="K8" s="17" t="n">
        <v>10</v>
      </c>
      <c r="L8" s="17" t="s">
        <v>50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5"/>
      <c r="X8" s="16" t="s">
        <v>51</v>
      </c>
    </row>
    <row r="9" customFormat="false" ht="15" hidden="false" customHeight="false" outlineLevel="0" collapsed="false">
      <c r="A9" s="11" t="s">
        <v>52</v>
      </c>
      <c r="B9" s="11" t="s">
        <v>53</v>
      </c>
      <c r="C9" s="11" t="s">
        <v>47</v>
      </c>
      <c r="D9" s="12" t="n">
        <v>0</v>
      </c>
      <c r="E9" s="11" t="s">
        <v>47</v>
      </c>
      <c r="F9" s="11" t="s">
        <v>54</v>
      </c>
      <c r="G9" s="11" t="s">
        <v>49</v>
      </c>
      <c r="H9" s="11" t="n">
        <v>8</v>
      </c>
      <c r="I9" s="11" t="n">
        <v>16</v>
      </c>
      <c r="J9" s="13" t="n">
        <f aca="false">IFERROR(AVERAGEIF('Sampling Audit'!$F$5:$F$34,I9,'Sampling Audit'!$J$5:$J$34),"")</f>
        <v>15.8181818181818</v>
      </c>
      <c r="K9" s="11" t="n">
        <v>10</v>
      </c>
      <c r="L9" s="11" t="s">
        <v>50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6" t="s">
        <v>51</v>
      </c>
    </row>
    <row r="10" customFormat="false" ht="15" hidden="false" customHeight="false" outlineLevel="0" collapsed="false">
      <c r="A10" s="17" t="s">
        <v>52</v>
      </c>
      <c r="B10" s="17" t="s">
        <v>53</v>
      </c>
      <c r="C10" s="17" t="s">
        <v>47</v>
      </c>
      <c r="D10" s="18" t="n">
        <v>0</v>
      </c>
      <c r="E10" s="17" t="s">
        <v>47</v>
      </c>
      <c r="F10" s="17" t="s">
        <v>54</v>
      </c>
      <c r="G10" s="17" t="s">
        <v>49</v>
      </c>
      <c r="H10" s="17" t="n">
        <v>8</v>
      </c>
      <c r="I10" s="17" t="n">
        <v>24</v>
      </c>
      <c r="J10" s="13" t="n">
        <f aca="false">IFERROR(AVERAGEIF('Sampling Audit'!$F$5:$F$34,I10,'Sampling Audit'!$J$5:$J$34),"")</f>
        <v>24.9642857142857</v>
      </c>
      <c r="K10" s="17" t="n">
        <v>10</v>
      </c>
      <c r="L10" s="17" t="s">
        <v>50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5"/>
      <c r="X10" s="16" t="s">
        <v>51</v>
      </c>
    </row>
    <row r="11" customFormat="false" ht="15" hidden="false" customHeight="false" outlineLevel="0" collapsed="false">
      <c r="A11" s="11" t="s">
        <v>55</v>
      </c>
      <c r="B11" s="11" t="s">
        <v>56</v>
      </c>
      <c r="C11" s="11" t="s">
        <v>47</v>
      </c>
      <c r="D11" s="12" t="n">
        <v>0</v>
      </c>
      <c r="E11" s="11" t="s">
        <v>47</v>
      </c>
      <c r="F11" s="11" t="s">
        <v>54</v>
      </c>
      <c r="G11" s="11" t="s">
        <v>49</v>
      </c>
      <c r="H11" s="11" t="n">
        <v>8</v>
      </c>
      <c r="I11" s="11" t="n">
        <v>8</v>
      </c>
      <c r="J11" s="13" t="n">
        <f aca="false">IFERROR(AVERAGEIF('Sampling Audit'!$F$5:$F$34,I11,'Sampling Audit'!$J$5:$J$34),"")</f>
        <v>7.90909090909091</v>
      </c>
      <c r="K11" s="11" t="n">
        <v>10</v>
      </c>
      <c r="L11" s="11" t="s">
        <v>50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5"/>
      <c r="X11" s="16" t="s">
        <v>51</v>
      </c>
    </row>
    <row r="12" customFormat="false" ht="15" hidden="false" customHeight="false" outlineLevel="0" collapsed="false">
      <c r="A12" s="17" t="s">
        <v>55</v>
      </c>
      <c r="B12" s="17" t="s">
        <v>56</v>
      </c>
      <c r="C12" s="17" t="s">
        <v>47</v>
      </c>
      <c r="D12" s="18" t="n">
        <v>0</v>
      </c>
      <c r="E12" s="17" t="s">
        <v>47</v>
      </c>
      <c r="F12" s="17" t="s">
        <v>54</v>
      </c>
      <c r="G12" s="17" t="s">
        <v>49</v>
      </c>
      <c r="H12" s="17" t="n">
        <v>8</v>
      </c>
      <c r="I12" s="17" t="n">
        <v>16</v>
      </c>
      <c r="J12" s="13" t="n">
        <f aca="false">IFERROR(AVERAGEIF('Sampling Audit'!$F$5:$F$34,I12,'Sampling Audit'!$J$5:$J$34),"")</f>
        <v>15.8181818181818</v>
      </c>
      <c r="K12" s="17" t="n">
        <v>10</v>
      </c>
      <c r="L12" s="17" t="s">
        <v>50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5"/>
      <c r="X12" s="16" t="s">
        <v>51</v>
      </c>
    </row>
    <row r="13" customFormat="false" ht="15" hidden="false" customHeight="false" outlineLevel="0" collapsed="false">
      <c r="A13" s="11" t="s">
        <v>55</v>
      </c>
      <c r="B13" s="11" t="s">
        <v>56</v>
      </c>
      <c r="C13" s="11" t="s">
        <v>47</v>
      </c>
      <c r="D13" s="12" t="n">
        <v>0</v>
      </c>
      <c r="E13" s="11" t="s">
        <v>47</v>
      </c>
      <c r="F13" s="11" t="s">
        <v>54</v>
      </c>
      <c r="G13" s="11" t="s">
        <v>49</v>
      </c>
      <c r="H13" s="11" t="n">
        <v>8</v>
      </c>
      <c r="I13" s="11" t="n">
        <v>24</v>
      </c>
      <c r="J13" s="13" t="n">
        <f aca="false">IFERROR(AVERAGEIF('Sampling Audit'!$F$5:$F$34,I13,'Sampling Audit'!$J$5:$J$34),"")</f>
        <v>24.9642857142857</v>
      </c>
      <c r="K13" s="11" t="n">
        <v>10</v>
      </c>
      <c r="L13" s="11" t="s">
        <v>50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5"/>
      <c r="X13" s="16" t="s">
        <v>51</v>
      </c>
    </row>
    <row r="14" customFormat="false" ht="23.85" hidden="false" customHeight="false" outlineLevel="0" collapsed="false">
      <c r="A14" s="17" t="s">
        <v>57</v>
      </c>
      <c r="B14" s="17" t="s">
        <v>58</v>
      </c>
      <c r="C14" s="17" t="s">
        <v>59</v>
      </c>
      <c r="D14" s="18" t="n">
        <v>758.91</v>
      </c>
      <c r="E14" s="17" t="s">
        <v>47</v>
      </c>
      <c r="F14" s="17" t="s">
        <v>54</v>
      </c>
      <c r="G14" s="17" t="s">
        <v>49</v>
      </c>
      <c r="H14" s="17" t="n">
        <v>8</v>
      </c>
      <c r="I14" s="17" t="n">
        <v>8</v>
      </c>
      <c r="J14" s="13" t="n">
        <f aca="false">IFERROR(AVERAGEIF('Sampling Audit'!$F$5:$F$34,I14,'Sampling Audit'!$J$5:$J$34),"")</f>
        <v>7.90909090909091</v>
      </c>
      <c r="K14" s="17" t="n">
        <v>10</v>
      </c>
      <c r="L14" s="17" t="s">
        <v>50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5"/>
      <c r="X14" s="16" t="s">
        <v>60</v>
      </c>
    </row>
    <row r="15" customFormat="false" ht="23.85" hidden="false" customHeight="false" outlineLevel="0" collapsed="false">
      <c r="A15" s="11" t="s">
        <v>57</v>
      </c>
      <c r="B15" s="11" t="s">
        <v>58</v>
      </c>
      <c r="C15" s="11" t="s">
        <v>59</v>
      </c>
      <c r="D15" s="12" t="n">
        <v>758.91</v>
      </c>
      <c r="E15" s="11" t="s">
        <v>47</v>
      </c>
      <c r="F15" s="11" t="s">
        <v>54</v>
      </c>
      <c r="G15" s="11" t="s">
        <v>49</v>
      </c>
      <c r="H15" s="11" t="n">
        <v>8</v>
      </c>
      <c r="I15" s="11" t="n">
        <v>16</v>
      </c>
      <c r="J15" s="13" t="n">
        <f aca="false">IFERROR(AVERAGEIF('Sampling Audit'!$F$5:$F$34,I15,'Sampling Audit'!$J$5:$J$34),"")</f>
        <v>15.8181818181818</v>
      </c>
      <c r="K15" s="11" t="n">
        <v>10</v>
      </c>
      <c r="L15" s="11" t="s">
        <v>50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5"/>
      <c r="X15" s="16" t="s">
        <v>60</v>
      </c>
    </row>
    <row r="16" customFormat="false" ht="23.85" hidden="false" customHeight="false" outlineLevel="0" collapsed="false">
      <c r="A16" s="17" t="s">
        <v>57</v>
      </c>
      <c r="B16" s="17" t="s">
        <v>58</v>
      </c>
      <c r="C16" s="17" t="s">
        <v>59</v>
      </c>
      <c r="D16" s="18" t="n">
        <v>758.91</v>
      </c>
      <c r="E16" s="17" t="s">
        <v>47</v>
      </c>
      <c r="F16" s="17" t="s">
        <v>54</v>
      </c>
      <c r="G16" s="17" t="s">
        <v>49</v>
      </c>
      <c r="H16" s="17" t="n">
        <v>8</v>
      </c>
      <c r="I16" s="17" t="n">
        <v>24</v>
      </c>
      <c r="J16" s="13" t="n">
        <f aca="false">IFERROR(AVERAGEIF('Sampling Audit'!$F$5:$F$34,I16,'Sampling Audit'!$J$5:$J$34),"")</f>
        <v>24.9642857142857</v>
      </c>
      <c r="K16" s="17" t="n">
        <v>10</v>
      </c>
      <c r="L16" s="17" t="s">
        <v>50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5"/>
      <c r="X16" s="16" t="s">
        <v>60</v>
      </c>
    </row>
  </sheetData>
  <autoFilter ref="A1:X16">
    <filterColumn colId="0" hiddenButton="1"/>
  </autoFilter>
  <mergeCells count="2">
    <mergeCell ref="A1:X1"/>
    <mergeCell ref="A2:X2"/>
  </mergeCells>
  <conditionalFormatting sqref="X5:X16">
    <cfRule type="expression" priority="2" aboveAverage="0" equalAverage="0" bottom="0" percent="0" rank="0" text="" dxfId="14">
      <formula>ISNUMBER(SEARCH("Complete",X5))</formula>
    </cfRule>
  </conditionalFormatting>
  <dataValidations count="1">
    <dataValidation allowBlank="false" error="Choose a status from the list." errorStyle="stop" errorTitle="Invalid status" operator="between" showDropDown="false" showErrorMessage="false" showInputMessage="false" sqref="X5:X16" type="list">
      <formula1>"Not started,Prepared,Running,Inference complete; metrics pending,Verified,Complete,Blocked,Not planned"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&amp;C&amp;"Calibri,Bold" CINE Model Benchmark Matrix</oddHeader>
    <oddFooter>&amp;RPage &amp;P of &amp;N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N3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5" min="2" style="0" width="9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28"/>
    <col collapsed="false" customWidth="true" hidden="false" outlineLevel="0" max="9" min="9" style="0" width="25"/>
    <col collapsed="false" customWidth="true" hidden="false" outlineLevel="0" max="10" min="10" style="0" width="14"/>
    <col collapsed="false" customWidth="true" hidden="false" outlineLevel="0" max="11" min="11" style="0" width="17"/>
    <col collapsed="false" customWidth="true" hidden="false" outlineLevel="0" max="12" min="12" style="0" width="18"/>
    <col collapsed="false" customWidth="true" hidden="false" outlineLevel="0" max="13" min="13" style="0" width="17"/>
    <col collapsed="false" customWidth="true" hidden="false" outlineLevel="0" max="14" min="14" style="0" width="32"/>
  </cols>
  <sheetData>
    <row r="1" customFormat="false" ht="30" hidden="false" customHeight="true" outlineLevel="0" collapsed="false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1.5" hidden="false" customHeight="true" outlineLevel="0" collapsed="false">
      <c r="A2" s="2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3.75" hidden="false" customHeight="true" outlineLevel="0" collapsed="false">
      <c r="A4" s="10" t="s">
        <v>63</v>
      </c>
      <c r="B4" s="10" t="s">
        <v>64</v>
      </c>
      <c r="C4" s="10" t="s">
        <v>65</v>
      </c>
      <c r="D4" s="10" t="s">
        <v>66</v>
      </c>
      <c r="E4" s="10" t="s">
        <v>67</v>
      </c>
      <c r="F4" s="10" t="s">
        <v>29</v>
      </c>
      <c r="G4" s="10" t="s">
        <v>28</v>
      </c>
      <c r="H4" s="10" t="s">
        <v>27</v>
      </c>
      <c r="I4" s="10" t="s">
        <v>68</v>
      </c>
      <c r="J4" s="10" t="s">
        <v>69</v>
      </c>
      <c r="K4" s="10" t="s">
        <v>70</v>
      </c>
      <c r="L4" s="10" t="s">
        <v>71</v>
      </c>
      <c r="M4" s="10" t="s">
        <v>72</v>
      </c>
      <c r="N4" s="10" t="s">
        <v>73</v>
      </c>
    </row>
    <row r="5" customFormat="false" ht="23.85" hidden="false" customHeight="false" outlineLevel="0" collapsed="false">
      <c r="A5" s="11" t="s">
        <v>74</v>
      </c>
      <c r="B5" s="11" t="n">
        <v>180</v>
      </c>
      <c r="C5" s="11" t="n">
        <v>192</v>
      </c>
      <c r="D5" s="11" t="n">
        <v>14</v>
      </c>
      <c r="E5" s="11" t="n">
        <v>25</v>
      </c>
      <c r="F5" s="11" t="n">
        <v>8</v>
      </c>
      <c r="G5" s="11" t="n">
        <v>8</v>
      </c>
      <c r="H5" s="11" t="s">
        <v>49</v>
      </c>
      <c r="I5" s="19" t="n">
        <v>22</v>
      </c>
      <c r="J5" s="13" t="n">
        <f aca="false">IFERROR(B5/I5,"")</f>
        <v>8.18181818181818</v>
      </c>
      <c r="K5" s="20" t="n">
        <f aca="false">IFERROR(I5/B5,"")</f>
        <v>0.122222222222222</v>
      </c>
      <c r="L5" s="11" t="s">
        <v>75</v>
      </c>
      <c r="M5" s="16" t="s">
        <v>76</v>
      </c>
      <c r="N5" s="16" t="s">
        <v>77</v>
      </c>
    </row>
    <row r="6" customFormat="false" ht="23.85" hidden="false" customHeight="false" outlineLevel="0" collapsed="false">
      <c r="A6" s="17" t="s">
        <v>78</v>
      </c>
      <c r="B6" s="17" t="n">
        <v>162</v>
      </c>
      <c r="C6" s="17" t="n">
        <v>192</v>
      </c>
      <c r="D6" s="17" t="n">
        <v>15</v>
      </c>
      <c r="E6" s="17" t="n">
        <v>25</v>
      </c>
      <c r="F6" s="17" t="n">
        <v>8</v>
      </c>
      <c r="G6" s="17" t="n">
        <v>8</v>
      </c>
      <c r="H6" s="17" t="s">
        <v>49</v>
      </c>
      <c r="I6" s="19" t="n">
        <v>20</v>
      </c>
      <c r="J6" s="13" t="n">
        <f aca="false">IFERROR(B6/I6,"")</f>
        <v>8.1</v>
      </c>
      <c r="K6" s="20" t="n">
        <f aca="false">IFERROR(I6/B6,"")</f>
        <v>0.123456790123457</v>
      </c>
      <c r="L6" s="17" t="s">
        <v>75</v>
      </c>
      <c r="M6" s="16" t="s">
        <v>76</v>
      </c>
      <c r="N6" s="16" t="s">
        <v>77</v>
      </c>
    </row>
    <row r="7" customFormat="false" ht="23.85" hidden="false" customHeight="false" outlineLevel="0" collapsed="false">
      <c r="A7" s="11" t="s">
        <v>79</v>
      </c>
      <c r="B7" s="11" t="n">
        <v>174</v>
      </c>
      <c r="C7" s="11" t="n">
        <v>192</v>
      </c>
      <c r="D7" s="11" t="n">
        <v>12</v>
      </c>
      <c r="E7" s="11" t="n">
        <v>25</v>
      </c>
      <c r="F7" s="11" t="n">
        <v>8</v>
      </c>
      <c r="G7" s="11" t="n">
        <v>8</v>
      </c>
      <c r="H7" s="11" t="s">
        <v>49</v>
      </c>
      <c r="I7" s="19" t="n">
        <v>22</v>
      </c>
      <c r="J7" s="13" t="n">
        <f aca="false">IFERROR(B7/I7,"")</f>
        <v>7.90909090909091</v>
      </c>
      <c r="K7" s="20" t="n">
        <f aca="false">IFERROR(I7/B7,"")</f>
        <v>0.126436781609195</v>
      </c>
      <c r="L7" s="11" t="s">
        <v>75</v>
      </c>
      <c r="M7" s="16" t="s">
        <v>76</v>
      </c>
      <c r="N7" s="16" t="s">
        <v>77</v>
      </c>
    </row>
    <row r="8" customFormat="false" ht="23.85" hidden="false" customHeight="false" outlineLevel="0" collapsed="false">
      <c r="A8" s="17" t="s">
        <v>80</v>
      </c>
      <c r="B8" s="17" t="n">
        <v>156</v>
      </c>
      <c r="C8" s="17" t="n">
        <v>192</v>
      </c>
      <c r="D8" s="17" t="n">
        <v>3</v>
      </c>
      <c r="E8" s="17" t="n">
        <v>25</v>
      </c>
      <c r="F8" s="17" t="n">
        <v>8</v>
      </c>
      <c r="G8" s="17" t="n">
        <v>8</v>
      </c>
      <c r="H8" s="17" t="s">
        <v>49</v>
      </c>
      <c r="I8" s="19" t="n">
        <v>20</v>
      </c>
      <c r="J8" s="13" t="n">
        <f aca="false">IFERROR(B8/I8,"")</f>
        <v>7.8</v>
      </c>
      <c r="K8" s="20" t="n">
        <f aca="false">IFERROR(I8/B8,"")</f>
        <v>0.128205128205128</v>
      </c>
      <c r="L8" s="17" t="s">
        <v>75</v>
      </c>
      <c r="M8" s="16" t="s">
        <v>76</v>
      </c>
      <c r="N8" s="16" t="s">
        <v>77</v>
      </c>
    </row>
    <row r="9" customFormat="false" ht="23.85" hidden="false" customHeight="false" outlineLevel="0" collapsed="false">
      <c r="A9" s="11" t="s">
        <v>81</v>
      </c>
      <c r="B9" s="11" t="n">
        <v>156</v>
      </c>
      <c r="C9" s="11" t="n">
        <v>192</v>
      </c>
      <c r="D9" s="11" t="n">
        <v>3</v>
      </c>
      <c r="E9" s="11" t="n">
        <v>25</v>
      </c>
      <c r="F9" s="11" t="n">
        <v>8</v>
      </c>
      <c r="G9" s="11" t="n">
        <v>8</v>
      </c>
      <c r="H9" s="11" t="s">
        <v>49</v>
      </c>
      <c r="I9" s="19" t="n">
        <v>20</v>
      </c>
      <c r="J9" s="13" t="n">
        <f aca="false">IFERROR(B9/I9,"")</f>
        <v>7.8</v>
      </c>
      <c r="K9" s="20" t="n">
        <f aca="false">IFERROR(I9/B9,"")</f>
        <v>0.128205128205128</v>
      </c>
      <c r="L9" s="11" t="s">
        <v>75</v>
      </c>
      <c r="M9" s="16" t="s">
        <v>76</v>
      </c>
      <c r="N9" s="16" t="s">
        <v>77</v>
      </c>
    </row>
    <row r="10" customFormat="false" ht="23.85" hidden="false" customHeight="false" outlineLevel="0" collapsed="false">
      <c r="A10" s="17" t="s">
        <v>82</v>
      </c>
      <c r="B10" s="17" t="n">
        <v>156</v>
      </c>
      <c r="C10" s="17" t="n">
        <v>192</v>
      </c>
      <c r="D10" s="17" t="n">
        <v>14</v>
      </c>
      <c r="E10" s="17" t="n">
        <v>25</v>
      </c>
      <c r="F10" s="17" t="n">
        <v>8</v>
      </c>
      <c r="G10" s="17" t="n">
        <v>8</v>
      </c>
      <c r="H10" s="17" t="s">
        <v>49</v>
      </c>
      <c r="I10" s="19" t="n">
        <v>20</v>
      </c>
      <c r="J10" s="13" t="n">
        <f aca="false">IFERROR(B10/I10,"")</f>
        <v>7.8</v>
      </c>
      <c r="K10" s="20" t="n">
        <f aca="false">IFERROR(I10/B10,"")</f>
        <v>0.128205128205128</v>
      </c>
      <c r="L10" s="17" t="s">
        <v>75</v>
      </c>
      <c r="M10" s="16" t="s">
        <v>76</v>
      </c>
      <c r="N10" s="16" t="s">
        <v>77</v>
      </c>
    </row>
    <row r="11" customFormat="false" ht="23.85" hidden="false" customHeight="false" outlineLevel="0" collapsed="false">
      <c r="A11" s="11" t="s">
        <v>83</v>
      </c>
      <c r="B11" s="11" t="n">
        <v>156</v>
      </c>
      <c r="C11" s="11" t="n">
        <v>192</v>
      </c>
      <c r="D11" s="11" t="n">
        <v>17</v>
      </c>
      <c r="E11" s="11" t="n">
        <v>25</v>
      </c>
      <c r="F11" s="11" t="n">
        <v>8</v>
      </c>
      <c r="G11" s="11" t="n">
        <v>8</v>
      </c>
      <c r="H11" s="11" t="s">
        <v>49</v>
      </c>
      <c r="I11" s="19" t="n">
        <v>20</v>
      </c>
      <c r="J11" s="13" t="n">
        <f aca="false">IFERROR(B11/I11,"")</f>
        <v>7.8</v>
      </c>
      <c r="K11" s="20" t="n">
        <f aca="false">IFERROR(I11/B11,"")</f>
        <v>0.128205128205128</v>
      </c>
      <c r="L11" s="11" t="s">
        <v>75</v>
      </c>
      <c r="M11" s="16" t="s">
        <v>76</v>
      </c>
      <c r="N11" s="16" t="s">
        <v>77</v>
      </c>
    </row>
    <row r="12" customFormat="false" ht="23.85" hidden="false" customHeight="false" outlineLevel="0" collapsed="false">
      <c r="A12" s="17" t="s">
        <v>84</v>
      </c>
      <c r="B12" s="17" t="n">
        <v>156</v>
      </c>
      <c r="C12" s="17" t="n">
        <v>192</v>
      </c>
      <c r="D12" s="17" t="n">
        <v>11</v>
      </c>
      <c r="E12" s="17" t="n">
        <v>25</v>
      </c>
      <c r="F12" s="17" t="n">
        <v>8</v>
      </c>
      <c r="G12" s="17" t="n">
        <v>8</v>
      </c>
      <c r="H12" s="17" t="s">
        <v>49</v>
      </c>
      <c r="I12" s="19" t="n">
        <v>20</v>
      </c>
      <c r="J12" s="13" t="n">
        <f aca="false">IFERROR(B12/I12,"")</f>
        <v>7.8</v>
      </c>
      <c r="K12" s="20" t="n">
        <f aca="false">IFERROR(I12/B12,"")</f>
        <v>0.128205128205128</v>
      </c>
      <c r="L12" s="17" t="s">
        <v>75</v>
      </c>
      <c r="M12" s="16" t="s">
        <v>76</v>
      </c>
      <c r="N12" s="16" t="s">
        <v>77</v>
      </c>
    </row>
    <row r="13" customFormat="false" ht="23.85" hidden="false" customHeight="false" outlineLevel="0" collapsed="false">
      <c r="A13" s="11" t="s">
        <v>85</v>
      </c>
      <c r="B13" s="11" t="n">
        <v>162</v>
      </c>
      <c r="C13" s="11" t="n">
        <v>192</v>
      </c>
      <c r="D13" s="11" t="n">
        <v>18</v>
      </c>
      <c r="E13" s="11" t="n">
        <v>25</v>
      </c>
      <c r="F13" s="11" t="n">
        <v>8</v>
      </c>
      <c r="G13" s="11" t="n">
        <v>8</v>
      </c>
      <c r="H13" s="11" t="s">
        <v>49</v>
      </c>
      <c r="I13" s="19" t="n">
        <v>20</v>
      </c>
      <c r="J13" s="13" t="n">
        <f aca="false">IFERROR(B13/I13,"")</f>
        <v>8.1</v>
      </c>
      <c r="K13" s="20" t="n">
        <f aca="false">IFERROR(I13/B13,"")</f>
        <v>0.123456790123457</v>
      </c>
      <c r="L13" s="11" t="s">
        <v>75</v>
      </c>
      <c r="M13" s="16" t="s">
        <v>76</v>
      </c>
      <c r="N13" s="16" t="s">
        <v>77</v>
      </c>
    </row>
    <row r="14" customFormat="false" ht="23.85" hidden="false" customHeight="false" outlineLevel="0" collapsed="false">
      <c r="A14" s="17" t="s">
        <v>86</v>
      </c>
      <c r="B14" s="17" t="n">
        <v>156</v>
      </c>
      <c r="C14" s="17" t="n">
        <v>192</v>
      </c>
      <c r="D14" s="17" t="n">
        <v>12</v>
      </c>
      <c r="E14" s="17" t="n">
        <v>25</v>
      </c>
      <c r="F14" s="17" t="n">
        <v>8</v>
      </c>
      <c r="G14" s="17" t="n">
        <v>8</v>
      </c>
      <c r="H14" s="17" t="s">
        <v>49</v>
      </c>
      <c r="I14" s="19" t="n">
        <v>20</v>
      </c>
      <c r="J14" s="13" t="n">
        <f aca="false">IFERROR(B14/I14,"")</f>
        <v>7.8</v>
      </c>
      <c r="K14" s="20" t="n">
        <f aca="false">IFERROR(I14/B14,"")</f>
        <v>0.128205128205128</v>
      </c>
      <c r="L14" s="17" t="s">
        <v>75</v>
      </c>
      <c r="M14" s="16" t="s">
        <v>76</v>
      </c>
      <c r="N14" s="16" t="s">
        <v>77</v>
      </c>
    </row>
    <row r="15" customFormat="false" ht="23.85" hidden="false" customHeight="false" outlineLevel="0" collapsed="false">
      <c r="A15" s="11" t="s">
        <v>74</v>
      </c>
      <c r="B15" s="11" t="n">
        <v>180</v>
      </c>
      <c r="C15" s="11" t="n">
        <v>192</v>
      </c>
      <c r="D15" s="11" t="n">
        <v>14</v>
      </c>
      <c r="E15" s="11" t="n">
        <v>25</v>
      </c>
      <c r="F15" s="11" t="n">
        <v>16</v>
      </c>
      <c r="G15" s="11" t="n">
        <v>8</v>
      </c>
      <c r="H15" s="11" t="s">
        <v>49</v>
      </c>
      <c r="I15" s="19" t="n">
        <v>11</v>
      </c>
      <c r="J15" s="13" t="n">
        <f aca="false">IFERROR(B15/I15,"")</f>
        <v>16.3636363636364</v>
      </c>
      <c r="K15" s="20" t="n">
        <f aca="false">IFERROR(I15/B15,"")</f>
        <v>0.0611111111111111</v>
      </c>
      <c r="L15" s="11" t="s">
        <v>75</v>
      </c>
      <c r="M15" s="16" t="s">
        <v>76</v>
      </c>
      <c r="N15" s="16" t="s">
        <v>77</v>
      </c>
    </row>
    <row r="16" customFormat="false" ht="23.85" hidden="false" customHeight="false" outlineLevel="0" collapsed="false">
      <c r="A16" s="17" t="s">
        <v>78</v>
      </c>
      <c r="B16" s="17" t="n">
        <v>162</v>
      </c>
      <c r="C16" s="17" t="n">
        <v>192</v>
      </c>
      <c r="D16" s="17" t="n">
        <v>15</v>
      </c>
      <c r="E16" s="17" t="n">
        <v>25</v>
      </c>
      <c r="F16" s="17" t="n">
        <v>16</v>
      </c>
      <c r="G16" s="17" t="n">
        <v>8</v>
      </c>
      <c r="H16" s="17" t="s">
        <v>49</v>
      </c>
      <c r="I16" s="19" t="n">
        <v>10</v>
      </c>
      <c r="J16" s="13" t="n">
        <f aca="false">IFERROR(B16/I16,"")</f>
        <v>16.2</v>
      </c>
      <c r="K16" s="20" t="n">
        <f aca="false">IFERROR(I16/B16,"")</f>
        <v>0.0617283950617284</v>
      </c>
      <c r="L16" s="17" t="s">
        <v>75</v>
      </c>
      <c r="M16" s="16" t="s">
        <v>76</v>
      </c>
      <c r="N16" s="16" t="s">
        <v>77</v>
      </c>
    </row>
    <row r="17" customFormat="false" ht="23.85" hidden="false" customHeight="false" outlineLevel="0" collapsed="false">
      <c r="A17" s="11" t="s">
        <v>79</v>
      </c>
      <c r="B17" s="11" t="n">
        <v>174</v>
      </c>
      <c r="C17" s="11" t="n">
        <v>192</v>
      </c>
      <c r="D17" s="11" t="n">
        <v>12</v>
      </c>
      <c r="E17" s="11" t="n">
        <v>25</v>
      </c>
      <c r="F17" s="11" t="n">
        <v>16</v>
      </c>
      <c r="G17" s="11" t="n">
        <v>8</v>
      </c>
      <c r="H17" s="11" t="s">
        <v>49</v>
      </c>
      <c r="I17" s="19" t="n">
        <v>11</v>
      </c>
      <c r="J17" s="13" t="n">
        <f aca="false">IFERROR(B17/I17,"")</f>
        <v>15.8181818181818</v>
      </c>
      <c r="K17" s="20" t="n">
        <f aca="false">IFERROR(I17/B17,"")</f>
        <v>0.0632183908045977</v>
      </c>
      <c r="L17" s="11" t="s">
        <v>75</v>
      </c>
      <c r="M17" s="16" t="s">
        <v>76</v>
      </c>
      <c r="N17" s="16" t="s">
        <v>77</v>
      </c>
    </row>
    <row r="18" customFormat="false" ht="23.85" hidden="false" customHeight="false" outlineLevel="0" collapsed="false">
      <c r="A18" s="17" t="s">
        <v>80</v>
      </c>
      <c r="B18" s="17" t="n">
        <v>156</v>
      </c>
      <c r="C18" s="17" t="n">
        <v>192</v>
      </c>
      <c r="D18" s="17" t="n">
        <v>3</v>
      </c>
      <c r="E18" s="17" t="n">
        <v>25</v>
      </c>
      <c r="F18" s="17" t="n">
        <v>16</v>
      </c>
      <c r="G18" s="17" t="n">
        <v>8</v>
      </c>
      <c r="H18" s="17" t="s">
        <v>49</v>
      </c>
      <c r="I18" s="19" t="n">
        <v>10</v>
      </c>
      <c r="J18" s="13" t="n">
        <f aca="false">IFERROR(B18/I18,"")</f>
        <v>15.6</v>
      </c>
      <c r="K18" s="20" t="n">
        <f aca="false">IFERROR(I18/B18,"")</f>
        <v>0.0641025641025641</v>
      </c>
      <c r="L18" s="17" t="s">
        <v>75</v>
      </c>
      <c r="M18" s="16" t="s">
        <v>76</v>
      </c>
      <c r="N18" s="16" t="s">
        <v>77</v>
      </c>
    </row>
    <row r="19" customFormat="false" ht="23.85" hidden="false" customHeight="false" outlineLevel="0" collapsed="false">
      <c r="A19" s="11" t="s">
        <v>81</v>
      </c>
      <c r="B19" s="11" t="n">
        <v>156</v>
      </c>
      <c r="C19" s="11" t="n">
        <v>192</v>
      </c>
      <c r="D19" s="11" t="n">
        <v>3</v>
      </c>
      <c r="E19" s="11" t="n">
        <v>25</v>
      </c>
      <c r="F19" s="11" t="n">
        <v>16</v>
      </c>
      <c r="G19" s="11" t="n">
        <v>8</v>
      </c>
      <c r="H19" s="11" t="s">
        <v>49</v>
      </c>
      <c r="I19" s="19" t="n">
        <v>10</v>
      </c>
      <c r="J19" s="13" t="n">
        <f aca="false">IFERROR(B19/I19,"")</f>
        <v>15.6</v>
      </c>
      <c r="K19" s="20" t="n">
        <f aca="false">IFERROR(I19/B19,"")</f>
        <v>0.0641025641025641</v>
      </c>
      <c r="L19" s="11" t="s">
        <v>75</v>
      </c>
      <c r="M19" s="16" t="s">
        <v>76</v>
      </c>
      <c r="N19" s="16" t="s">
        <v>77</v>
      </c>
    </row>
    <row r="20" customFormat="false" ht="23.85" hidden="false" customHeight="false" outlineLevel="0" collapsed="false">
      <c r="A20" s="17" t="s">
        <v>82</v>
      </c>
      <c r="B20" s="17" t="n">
        <v>156</v>
      </c>
      <c r="C20" s="17" t="n">
        <v>192</v>
      </c>
      <c r="D20" s="17" t="n">
        <v>14</v>
      </c>
      <c r="E20" s="17" t="n">
        <v>25</v>
      </c>
      <c r="F20" s="17" t="n">
        <v>16</v>
      </c>
      <c r="G20" s="17" t="n">
        <v>8</v>
      </c>
      <c r="H20" s="17" t="s">
        <v>49</v>
      </c>
      <c r="I20" s="19" t="n">
        <v>10</v>
      </c>
      <c r="J20" s="13" t="n">
        <f aca="false">IFERROR(B20/I20,"")</f>
        <v>15.6</v>
      </c>
      <c r="K20" s="20" t="n">
        <f aca="false">IFERROR(I20/B20,"")</f>
        <v>0.0641025641025641</v>
      </c>
      <c r="L20" s="17" t="s">
        <v>75</v>
      </c>
      <c r="M20" s="16" t="s">
        <v>76</v>
      </c>
      <c r="N20" s="16" t="s">
        <v>77</v>
      </c>
    </row>
    <row r="21" customFormat="false" ht="23.85" hidden="false" customHeight="false" outlineLevel="0" collapsed="false">
      <c r="A21" s="11" t="s">
        <v>83</v>
      </c>
      <c r="B21" s="11" t="n">
        <v>156</v>
      </c>
      <c r="C21" s="11" t="n">
        <v>192</v>
      </c>
      <c r="D21" s="11" t="n">
        <v>17</v>
      </c>
      <c r="E21" s="11" t="n">
        <v>25</v>
      </c>
      <c r="F21" s="11" t="n">
        <v>16</v>
      </c>
      <c r="G21" s="11" t="n">
        <v>8</v>
      </c>
      <c r="H21" s="11" t="s">
        <v>49</v>
      </c>
      <c r="I21" s="19" t="n">
        <v>10</v>
      </c>
      <c r="J21" s="13" t="n">
        <f aca="false">IFERROR(B21/I21,"")</f>
        <v>15.6</v>
      </c>
      <c r="K21" s="20" t="n">
        <f aca="false">IFERROR(I21/B21,"")</f>
        <v>0.0641025641025641</v>
      </c>
      <c r="L21" s="11" t="s">
        <v>75</v>
      </c>
      <c r="M21" s="16" t="s">
        <v>76</v>
      </c>
      <c r="N21" s="16" t="s">
        <v>77</v>
      </c>
    </row>
    <row r="22" customFormat="false" ht="23.85" hidden="false" customHeight="false" outlineLevel="0" collapsed="false">
      <c r="A22" s="17" t="s">
        <v>84</v>
      </c>
      <c r="B22" s="17" t="n">
        <v>156</v>
      </c>
      <c r="C22" s="17" t="n">
        <v>192</v>
      </c>
      <c r="D22" s="17" t="n">
        <v>11</v>
      </c>
      <c r="E22" s="17" t="n">
        <v>25</v>
      </c>
      <c r="F22" s="17" t="n">
        <v>16</v>
      </c>
      <c r="G22" s="17" t="n">
        <v>8</v>
      </c>
      <c r="H22" s="17" t="s">
        <v>49</v>
      </c>
      <c r="I22" s="19" t="n">
        <v>10</v>
      </c>
      <c r="J22" s="13" t="n">
        <f aca="false">IFERROR(B22/I22,"")</f>
        <v>15.6</v>
      </c>
      <c r="K22" s="20" t="n">
        <f aca="false">IFERROR(I22/B22,"")</f>
        <v>0.0641025641025641</v>
      </c>
      <c r="L22" s="17" t="s">
        <v>75</v>
      </c>
      <c r="M22" s="16" t="s">
        <v>76</v>
      </c>
      <c r="N22" s="16" t="s">
        <v>77</v>
      </c>
    </row>
    <row r="23" customFormat="false" ht="23.85" hidden="false" customHeight="false" outlineLevel="0" collapsed="false">
      <c r="A23" s="11" t="s">
        <v>85</v>
      </c>
      <c r="B23" s="11" t="n">
        <v>162</v>
      </c>
      <c r="C23" s="11" t="n">
        <v>192</v>
      </c>
      <c r="D23" s="11" t="n">
        <v>18</v>
      </c>
      <c r="E23" s="11" t="n">
        <v>25</v>
      </c>
      <c r="F23" s="11" t="n">
        <v>16</v>
      </c>
      <c r="G23" s="11" t="n">
        <v>8</v>
      </c>
      <c r="H23" s="11" t="s">
        <v>49</v>
      </c>
      <c r="I23" s="19" t="n">
        <v>10</v>
      </c>
      <c r="J23" s="13" t="n">
        <f aca="false">IFERROR(B23/I23,"")</f>
        <v>16.2</v>
      </c>
      <c r="K23" s="20" t="n">
        <f aca="false">IFERROR(I23/B23,"")</f>
        <v>0.0617283950617284</v>
      </c>
      <c r="L23" s="11" t="s">
        <v>75</v>
      </c>
      <c r="M23" s="16" t="s">
        <v>76</v>
      </c>
      <c r="N23" s="16" t="s">
        <v>77</v>
      </c>
    </row>
    <row r="24" customFormat="false" ht="23.85" hidden="false" customHeight="false" outlineLevel="0" collapsed="false">
      <c r="A24" s="17" t="s">
        <v>86</v>
      </c>
      <c r="B24" s="17" t="n">
        <v>156</v>
      </c>
      <c r="C24" s="17" t="n">
        <v>192</v>
      </c>
      <c r="D24" s="17" t="n">
        <v>12</v>
      </c>
      <c r="E24" s="17" t="n">
        <v>25</v>
      </c>
      <c r="F24" s="17" t="n">
        <v>16</v>
      </c>
      <c r="G24" s="17" t="n">
        <v>8</v>
      </c>
      <c r="H24" s="17" t="s">
        <v>49</v>
      </c>
      <c r="I24" s="19" t="n">
        <v>10</v>
      </c>
      <c r="J24" s="13" t="n">
        <f aca="false">IFERROR(B24/I24,"")</f>
        <v>15.6</v>
      </c>
      <c r="K24" s="20" t="n">
        <f aca="false">IFERROR(I24/B24,"")</f>
        <v>0.0641025641025641</v>
      </c>
      <c r="L24" s="17" t="s">
        <v>75</v>
      </c>
      <c r="M24" s="16" t="s">
        <v>76</v>
      </c>
      <c r="N24" s="16" t="s">
        <v>77</v>
      </c>
    </row>
    <row r="25" customFormat="false" ht="23.85" hidden="false" customHeight="false" outlineLevel="0" collapsed="false">
      <c r="A25" s="11" t="s">
        <v>74</v>
      </c>
      <c r="B25" s="11" t="n">
        <v>180</v>
      </c>
      <c r="C25" s="11" t="n">
        <v>192</v>
      </c>
      <c r="D25" s="11" t="n">
        <v>14</v>
      </c>
      <c r="E25" s="11" t="n">
        <v>25</v>
      </c>
      <c r="F25" s="11" t="n">
        <v>24</v>
      </c>
      <c r="G25" s="11" t="n">
        <v>8</v>
      </c>
      <c r="H25" s="11" t="s">
        <v>49</v>
      </c>
      <c r="I25" s="19" t="n">
        <v>8</v>
      </c>
      <c r="J25" s="13" t="n">
        <f aca="false">IFERROR(B25/I25,"")</f>
        <v>22.5</v>
      </c>
      <c r="K25" s="20" t="n">
        <f aca="false">IFERROR(I25/B25,"")</f>
        <v>0.0444444444444444</v>
      </c>
      <c r="L25" s="11" t="s">
        <v>75</v>
      </c>
      <c r="M25" s="16" t="s">
        <v>76</v>
      </c>
      <c r="N25" s="16" t="s">
        <v>77</v>
      </c>
    </row>
    <row r="26" customFormat="false" ht="23.85" hidden="false" customHeight="false" outlineLevel="0" collapsed="false">
      <c r="A26" s="17" t="s">
        <v>78</v>
      </c>
      <c r="B26" s="17" t="n">
        <v>162</v>
      </c>
      <c r="C26" s="17" t="n">
        <v>192</v>
      </c>
      <c r="D26" s="17" t="n">
        <v>15</v>
      </c>
      <c r="E26" s="17" t="n">
        <v>25</v>
      </c>
      <c r="F26" s="17" t="n">
        <v>24</v>
      </c>
      <c r="G26" s="17" t="n">
        <v>8</v>
      </c>
      <c r="H26" s="17" t="s">
        <v>49</v>
      </c>
      <c r="I26" s="19" t="n">
        <v>7</v>
      </c>
      <c r="J26" s="13" t="n">
        <f aca="false">IFERROR(B26/I26,"")</f>
        <v>23.1428571428571</v>
      </c>
      <c r="K26" s="20" t="n">
        <f aca="false">IFERROR(I26/B26,"")</f>
        <v>0.0432098765432099</v>
      </c>
      <c r="L26" s="17" t="s">
        <v>75</v>
      </c>
      <c r="M26" s="16" t="s">
        <v>76</v>
      </c>
      <c r="N26" s="16" t="s">
        <v>77</v>
      </c>
    </row>
    <row r="27" customFormat="false" ht="23.85" hidden="false" customHeight="false" outlineLevel="0" collapsed="false">
      <c r="A27" s="11" t="s">
        <v>79</v>
      </c>
      <c r="B27" s="11" t="n">
        <v>174</v>
      </c>
      <c r="C27" s="11" t="n">
        <v>192</v>
      </c>
      <c r="D27" s="11" t="n">
        <v>12</v>
      </c>
      <c r="E27" s="11" t="n">
        <v>25</v>
      </c>
      <c r="F27" s="11" t="n">
        <v>24</v>
      </c>
      <c r="G27" s="11" t="n">
        <v>8</v>
      </c>
      <c r="H27" s="11" t="s">
        <v>49</v>
      </c>
      <c r="I27" s="19" t="n">
        <v>7</v>
      </c>
      <c r="J27" s="13" t="n">
        <f aca="false">IFERROR(B27/I27,"")</f>
        <v>24.8571428571429</v>
      </c>
      <c r="K27" s="20" t="n">
        <f aca="false">IFERROR(I27/B27,"")</f>
        <v>0.0402298850574713</v>
      </c>
      <c r="L27" s="11" t="s">
        <v>75</v>
      </c>
      <c r="M27" s="16" t="s">
        <v>76</v>
      </c>
      <c r="N27" s="16" t="s">
        <v>77</v>
      </c>
    </row>
    <row r="28" customFormat="false" ht="23.85" hidden="false" customHeight="false" outlineLevel="0" collapsed="false">
      <c r="A28" s="17" t="s">
        <v>80</v>
      </c>
      <c r="B28" s="17" t="n">
        <v>156</v>
      </c>
      <c r="C28" s="17" t="n">
        <v>192</v>
      </c>
      <c r="D28" s="17" t="n">
        <v>3</v>
      </c>
      <c r="E28" s="17" t="n">
        <v>25</v>
      </c>
      <c r="F28" s="17" t="n">
        <v>24</v>
      </c>
      <c r="G28" s="17" t="n">
        <v>8</v>
      </c>
      <c r="H28" s="17" t="s">
        <v>49</v>
      </c>
      <c r="I28" s="19" t="n">
        <v>6</v>
      </c>
      <c r="J28" s="13" t="n">
        <f aca="false">IFERROR(B28/I28,"")</f>
        <v>26</v>
      </c>
      <c r="K28" s="20" t="n">
        <f aca="false">IFERROR(I28/B28,"")</f>
        <v>0.0384615384615385</v>
      </c>
      <c r="L28" s="17" t="s">
        <v>75</v>
      </c>
      <c r="M28" s="16" t="s">
        <v>76</v>
      </c>
      <c r="N28" s="16" t="s">
        <v>77</v>
      </c>
    </row>
    <row r="29" customFormat="false" ht="23.85" hidden="false" customHeight="false" outlineLevel="0" collapsed="false">
      <c r="A29" s="11" t="s">
        <v>81</v>
      </c>
      <c r="B29" s="11" t="n">
        <v>156</v>
      </c>
      <c r="C29" s="11" t="n">
        <v>192</v>
      </c>
      <c r="D29" s="11" t="n">
        <v>3</v>
      </c>
      <c r="E29" s="11" t="n">
        <v>25</v>
      </c>
      <c r="F29" s="11" t="n">
        <v>24</v>
      </c>
      <c r="G29" s="11" t="n">
        <v>8</v>
      </c>
      <c r="H29" s="11" t="s">
        <v>49</v>
      </c>
      <c r="I29" s="19" t="n">
        <v>6</v>
      </c>
      <c r="J29" s="13" t="n">
        <f aca="false">IFERROR(B29/I29,"")</f>
        <v>26</v>
      </c>
      <c r="K29" s="20" t="n">
        <f aca="false">IFERROR(I29/B29,"")</f>
        <v>0.0384615384615385</v>
      </c>
      <c r="L29" s="11" t="s">
        <v>75</v>
      </c>
      <c r="M29" s="16" t="s">
        <v>76</v>
      </c>
      <c r="N29" s="16" t="s">
        <v>77</v>
      </c>
    </row>
    <row r="30" customFormat="false" ht="23.85" hidden="false" customHeight="false" outlineLevel="0" collapsed="false">
      <c r="A30" s="17" t="s">
        <v>82</v>
      </c>
      <c r="B30" s="17" t="n">
        <v>156</v>
      </c>
      <c r="C30" s="17" t="n">
        <v>192</v>
      </c>
      <c r="D30" s="17" t="n">
        <v>14</v>
      </c>
      <c r="E30" s="17" t="n">
        <v>25</v>
      </c>
      <c r="F30" s="17" t="n">
        <v>24</v>
      </c>
      <c r="G30" s="17" t="n">
        <v>8</v>
      </c>
      <c r="H30" s="17" t="s">
        <v>49</v>
      </c>
      <c r="I30" s="19" t="n">
        <v>6</v>
      </c>
      <c r="J30" s="13" t="n">
        <f aca="false">IFERROR(B30/I30,"")</f>
        <v>26</v>
      </c>
      <c r="K30" s="20" t="n">
        <f aca="false">IFERROR(I30/B30,"")</f>
        <v>0.0384615384615385</v>
      </c>
      <c r="L30" s="17" t="s">
        <v>75</v>
      </c>
      <c r="M30" s="16" t="s">
        <v>76</v>
      </c>
      <c r="N30" s="16" t="s">
        <v>77</v>
      </c>
    </row>
    <row r="31" customFormat="false" ht="23.85" hidden="false" customHeight="false" outlineLevel="0" collapsed="false">
      <c r="A31" s="11" t="s">
        <v>83</v>
      </c>
      <c r="B31" s="11" t="n">
        <v>156</v>
      </c>
      <c r="C31" s="11" t="n">
        <v>192</v>
      </c>
      <c r="D31" s="11" t="n">
        <v>17</v>
      </c>
      <c r="E31" s="11" t="n">
        <v>25</v>
      </c>
      <c r="F31" s="11" t="n">
        <v>24</v>
      </c>
      <c r="G31" s="11" t="n">
        <v>8</v>
      </c>
      <c r="H31" s="11" t="s">
        <v>49</v>
      </c>
      <c r="I31" s="19" t="n">
        <v>6</v>
      </c>
      <c r="J31" s="13" t="n">
        <f aca="false">IFERROR(B31/I31,"")</f>
        <v>26</v>
      </c>
      <c r="K31" s="20" t="n">
        <f aca="false">IFERROR(I31/B31,"")</f>
        <v>0.0384615384615385</v>
      </c>
      <c r="L31" s="11" t="s">
        <v>75</v>
      </c>
      <c r="M31" s="16" t="s">
        <v>76</v>
      </c>
      <c r="N31" s="16" t="s">
        <v>77</v>
      </c>
    </row>
    <row r="32" customFormat="false" ht="23.85" hidden="false" customHeight="false" outlineLevel="0" collapsed="false">
      <c r="A32" s="17" t="s">
        <v>84</v>
      </c>
      <c r="B32" s="17" t="n">
        <v>156</v>
      </c>
      <c r="C32" s="17" t="n">
        <v>192</v>
      </c>
      <c r="D32" s="17" t="n">
        <v>11</v>
      </c>
      <c r="E32" s="17" t="n">
        <v>25</v>
      </c>
      <c r="F32" s="17" t="n">
        <v>24</v>
      </c>
      <c r="G32" s="17" t="n">
        <v>8</v>
      </c>
      <c r="H32" s="17" t="s">
        <v>49</v>
      </c>
      <c r="I32" s="19" t="n">
        <v>6</v>
      </c>
      <c r="J32" s="13" t="n">
        <f aca="false">IFERROR(B32/I32,"")</f>
        <v>26</v>
      </c>
      <c r="K32" s="20" t="n">
        <f aca="false">IFERROR(I32/B32,"")</f>
        <v>0.0384615384615385</v>
      </c>
      <c r="L32" s="17" t="s">
        <v>75</v>
      </c>
      <c r="M32" s="16" t="s">
        <v>76</v>
      </c>
      <c r="N32" s="16" t="s">
        <v>77</v>
      </c>
    </row>
    <row r="33" customFormat="false" ht="23.85" hidden="false" customHeight="false" outlineLevel="0" collapsed="false">
      <c r="A33" s="11" t="s">
        <v>85</v>
      </c>
      <c r="B33" s="11" t="n">
        <v>162</v>
      </c>
      <c r="C33" s="11" t="n">
        <v>192</v>
      </c>
      <c r="D33" s="11" t="n">
        <v>18</v>
      </c>
      <c r="E33" s="11" t="n">
        <v>25</v>
      </c>
      <c r="F33" s="11" t="n">
        <v>24</v>
      </c>
      <c r="G33" s="11" t="n">
        <v>8</v>
      </c>
      <c r="H33" s="11" t="s">
        <v>49</v>
      </c>
      <c r="I33" s="19" t="n">
        <v>7</v>
      </c>
      <c r="J33" s="13" t="n">
        <f aca="false">IFERROR(B33/I33,"")</f>
        <v>23.1428571428571</v>
      </c>
      <c r="K33" s="20" t="n">
        <f aca="false">IFERROR(I33/B33,"")</f>
        <v>0.0432098765432099</v>
      </c>
      <c r="L33" s="11" t="s">
        <v>75</v>
      </c>
      <c r="M33" s="16" t="s">
        <v>76</v>
      </c>
      <c r="N33" s="16" t="s">
        <v>77</v>
      </c>
    </row>
    <row r="34" customFormat="false" ht="23.85" hidden="false" customHeight="false" outlineLevel="0" collapsed="false">
      <c r="A34" s="17" t="s">
        <v>86</v>
      </c>
      <c r="B34" s="17" t="n">
        <v>156</v>
      </c>
      <c r="C34" s="17" t="n">
        <v>192</v>
      </c>
      <c r="D34" s="17" t="n">
        <v>12</v>
      </c>
      <c r="E34" s="17" t="n">
        <v>25</v>
      </c>
      <c r="F34" s="17" t="n">
        <v>24</v>
      </c>
      <c r="G34" s="17" t="n">
        <v>8</v>
      </c>
      <c r="H34" s="17" t="s">
        <v>49</v>
      </c>
      <c r="I34" s="19" t="n">
        <v>6</v>
      </c>
      <c r="J34" s="13" t="n">
        <f aca="false">IFERROR(B34/I34,"")</f>
        <v>26</v>
      </c>
      <c r="K34" s="20" t="n">
        <f aca="false">IFERROR(I34/B34,"")</f>
        <v>0.0384615384615385</v>
      </c>
      <c r="L34" s="17" t="s">
        <v>75</v>
      </c>
      <c r="M34" s="16" t="s">
        <v>76</v>
      </c>
      <c r="N34" s="16" t="s">
        <v>77</v>
      </c>
    </row>
  </sheetData>
  <autoFilter ref="A1:N34">
    <filterColumn colId="0" hiddenButton="1"/>
  </autoFilter>
  <mergeCells count="2">
    <mergeCell ref="A1:N1"/>
    <mergeCell ref="A2:N2"/>
  </mergeCells>
  <dataValidations count="1">
    <dataValidation allowBlank="false" error="Choose a status from the list." errorStyle="stop" errorTitle="Invalid status" operator="between" showDropDown="false" showErrorMessage="false" showInputMessage="false" sqref="M5:M34" type="list">
      <formula1>"Not started,Prepared,Running,Inference complete; metrics pending,Verified,Complete,Blocked,Not planned"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&amp;C&amp;"Calibri,Bold" CINE Model Benchmark Matrix</oddHeader>
    <oddFooter>&amp;RPage &amp;P of &amp;N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T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4" min="13" style="0" width="11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17"/>
    <col collapsed="false" customWidth="true" hidden="false" outlineLevel="0" max="19" min="19" style="0" width="25"/>
    <col collapsed="false" customWidth="true" hidden="false" outlineLevel="0" max="20" min="20" style="0" width="48"/>
  </cols>
  <sheetData>
    <row r="1" customFormat="false" ht="30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31.5" hidden="false" customHeight="true" outlineLevel="0" collapsed="false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3.75" hidden="false" customHeight="true" outlineLevel="0" collapsed="false">
      <c r="A4" s="10" t="s">
        <v>21</v>
      </c>
      <c r="B4" s="10" t="s">
        <v>26</v>
      </c>
      <c r="C4" s="10" t="s">
        <v>27</v>
      </c>
      <c r="D4" s="10" t="s">
        <v>29</v>
      </c>
      <c r="E4" s="10" t="s">
        <v>31</v>
      </c>
      <c r="F4" s="10" t="s">
        <v>89</v>
      </c>
      <c r="G4" s="10" t="s">
        <v>33</v>
      </c>
      <c r="H4" s="10" t="s">
        <v>90</v>
      </c>
      <c r="I4" s="10" t="s">
        <v>91</v>
      </c>
      <c r="J4" s="10" t="s">
        <v>92</v>
      </c>
      <c r="K4" s="10" t="s">
        <v>93</v>
      </c>
      <c r="L4" s="10" t="s">
        <v>39</v>
      </c>
      <c r="M4" s="10" t="s">
        <v>94</v>
      </c>
      <c r="N4" s="10" t="s">
        <v>95</v>
      </c>
      <c r="O4" s="10" t="s">
        <v>96</v>
      </c>
      <c r="P4" s="10" t="s">
        <v>97</v>
      </c>
      <c r="Q4" s="10" t="s">
        <v>98</v>
      </c>
      <c r="R4" s="10" t="s">
        <v>99</v>
      </c>
      <c r="S4" s="10" t="s">
        <v>100</v>
      </c>
      <c r="T4" s="10" t="s">
        <v>101</v>
      </c>
    </row>
    <row r="5" customFormat="false" ht="23.85" hidden="false" customHeight="false" outlineLevel="0" collapsed="false">
      <c r="A5" s="21" t="s">
        <v>57</v>
      </c>
      <c r="B5" s="21" t="s">
        <v>102</v>
      </c>
      <c r="C5" s="21" t="s">
        <v>103</v>
      </c>
      <c r="D5" s="21" t="n">
        <v>8</v>
      </c>
      <c r="E5" s="21" t="n">
        <v>10</v>
      </c>
      <c r="F5" s="21" t="n">
        <v>2975</v>
      </c>
      <c r="G5" s="22" t="n">
        <v>23.981</v>
      </c>
      <c r="H5" s="22" t="n">
        <v>4.399</v>
      </c>
      <c r="I5" s="22" t="n">
        <v>24.374</v>
      </c>
      <c r="J5" s="22" t="n">
        <v>0.436</v>
      </c>
      <c r="K5" s="22" t="n">
        <v>0.142</v>
      </c>
      <c r="L5" s="22" t="n">
        <v>0.211</v>
      </c>
      <c r="M5" s="22" t="n">
        <v>0.138</v>
      </c>
      <c r="N5" s="22" t="n">
        <v>0.0121</v>
      </c>
      <c r="O5" s="22" t="n">
        <v>0.0099</v>
      </c>
      <c r="P5" s="22" t="n">
        <v>0.0414</v>
      </c>
      <c r="Q5" s="22" t="n">
        <v>0.0102</v>
      </c>
      <c r="R5" s="23"/>
      <c r="S5" s="21" t="s">
        <v>104</v>
      </c>
      <c r="T5" s="21" t="s">
        <v>105</v>
      </c>
    </row>
    <row r="6" customFormat="false" ht="23.85" hidden="false" customHeight="false" outlineLevel="0" collapsed="false">
      <c r="A6" s="24" t="s">
        <v>57</v>
      </c>
      <c r="B6" s="24" t="s">
        <v>102</v>
      </c>
      <c r="C6" s="24" t="s">
        <v>103</v>
      </c>
      <c r="D6" s="24" t="n">
        <v>16</v>
      </c>
      <c r="E6" s="24" t="n">
        <v>10</v>
      </c>
      <c r="F6" s="24" t="n">
        <v>2975</v>
      </c>
      <c r="G6" s="25" t="n">
        <v>22.058</v>
      </c>
      <c r="H6" s="25" t="n">
        <v>4.364</v>
      </c>
      <c r="I6" s="25" t="n">
        <v>22.376</v>
      </c>
      <c r="J6" s="25" t="n">
        <v>0.541</v>
      </c>
      <c r="K6" s="25" t="n">
        <v>0.162</v>
      </c>
      <c r="L6" s="25" t="n">
        <v>0.319</v>
      </c>
      <c r="M6" s="25" t="n">
        <v>0.186</v>
      </c>
      <c r="N6" s="25" t="n">
        <v>0.0181</v>
      </c>
      <c r="O6" s="25" t="n">
        <v>0.0125</v>
      </c>
      <c r="P6" s="25" t="n">
        <v>0.0494</v>
      </c>
      <c r="Q6" s="25" t="n">
        <v>0.012</v>
      </c>
      <c r="R6" s="26" t="n">
        <v>321.46</v>
      </c>
      <c r="S6" s="24" t="s">
        <v>106</v>
      </c>
      <c r="T6" s="24" t="s">
        <v>107</v>
      </c>
    </row>
    <row r="7" customFormat="false" ht="23.85" hidden="false" customHeight="false" outlineLevel="0" collapsed="false">
      <c r="A7" s="27" t="s">
        <v>57</v>
      </c>
      <c r="B7" s="27" t="s">
        <v>102</v>
      </c>
      <c r="C7" s="27" t="s">
        <v>103</v>
      </c>
      <c r="D7" s="27" t="n">
        <v>24</v>
      </c>
      <c r="E7" s="27" t="n">
        <v>10</v>
      </c>
      <c r="F7" s="27" t="n">
        <v>2975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9"/>
      <c r="S7" s="27" t="s">
        <v>108</v>
      </c>
      <c r="T7" s="27" t="s">
        <v>109</v>
      </c>
    </row>
  </sheetData>
  <autoFilter ref="A1:T7">
    <filterColumn colId="0" hiddenButton="1"/>
  </autoFilter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&amp;C&amp;"Calibri,Bold" CINE Model Benchmark Matrix</oddHeader>
    <oddFooter>&amp;RPage &amp;P of &amp;N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O1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22"/>
    <col collapsed="false" customWidth="true" hidden="false" outlineLevel="0" max="4" min="4" style="0" width="29"/>
    <col collapsed="false" customWidth="true" hidden="false" outlineLevel="0" max="6" min="5" style="0" width="13"/>
    <col collapsed="false" customWidth="true" hidden="false" outlineLevel="0" max="7" min="7" style="0" width="31"/>
    <col collapsed="false" customWidth="true" hidden="false" outlineLevel="0" max="8" min="8" style="0" width="9"/>
    <col collapsed="false" customWidth="true" hidden="false" outlineLevel="0" max="11" min="9" style="0" width="11"/>
    <col collapsed="false" customWidth="true" hidden="false" outlineLevel="0" max="12" min="12" style="0" width="18"/>
    <col collapsed="false" customWidth="true" hidden="false" outlineLevel="0" max="13" min="13" style="0" width="25"/>
    <col collapsed="false" customWidth="true" hidden="false" outlineLevel="0" max="14" min="14" style="0" width="38"/>
    <col collapsed="false" customWidth="true" hidden="false" outlineLevel="0" max="15" min="15" style="0" width="34"/>
  </cols>
  <sheetData>
    <row r="1" customFormat="false" ht="30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1.5" hidden="false" customHeight="true" outlineLevel="0" collapsed="false">
      <c r="A2" s="2" t="s">
        <v>111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3.75" hidden="false" customHeight="true" outlineLevel="0" collapsed="false">
      <c r="A4" s="10" t="s">
        <v>112</v>
      </c>
      <c r="B4" s="10" t="s">
        <v>113</v>
      </c>
      <c r="C4" s="10" t="s">
        <v>26</v>
      </c>
      <c r="D4" s="10" t="s">
        <v>114</v>
      </c>
      <c r="E4" s="10" t="s">
        <v>29</v>
      </c>
      <c r="F4" s="10" t="s">
        <v>69</v>
      </c>
      <c r="G4" s="10" t="s">
        <v>115</v>
      </c>
      <c r="H4" s="10" t="s">
        <v>31</v>
      </c>
      <c r="I4" s="10" t="s">
        <v>116</v>
      </c>
      <c r="J4" s="10" t="s">
        <v>117</v>
      </c>
      <c r="K4" s="10" t="s">
        <v>118</v>
      </c>
      <c r="L4" s="10" t="s">
        <v>42</v>
      </c>
      <c r="M4" s="10" t="s">
        <v>100</v>
      </c>
      <c r="N4" s="10" t="s">
        <v>119</v>
      </c>
      <c r="O4" s="10" t="s">
        <v>120</v>
      </c>
    </row>
    <row r="5" customFormat="false" ht="15" hidden="false" customHeight="false" outlineLevel="0" collapsed="false">
      <c r="A5" s="11" t="s">
        <v>121</v>
      </c>
      <c r="B5" s="11" t="s">
        <v>122</v>
      </c>
      <c r="C5" s="11" t="s">
        <v>123</v>
      </c>
      <c r="D5" s="11" t="s">
        <v>124</v>
      </c>
      <c r="E5" s="11" t="n">
        <v>8</v>
      </c>
      <c r="F5" s="13"/>
      <c r="G5" s="11" t="s">
        <v>125</v>
      </c>
      <c r="H5" s="11" t="n">
        <v>10</v>
      </c>
      <c r="I5" s="16"/>
      <c r="J5" s="16"/>
      <c r="K5" s="16"/>
      <c r="L5" s="16"/>
      <c r="M5" s="16" t="s">
        <v>126</v>
      </c>
      <c r="N5" s="11" t="s">
        <v>127</v>
      </c>
      <c r="O5" s="16" t="s">
        <v>128</v>
      </c>
    </row>
    <row r="6" customFormat="false" ht="15" hidden="false" customHeight="false" outlineLevel="0" collapsed="false">
      <c r="A6" s="17" t="s">
        <v>129</v>
      </c>
      <c r="B6" s="17" t="s">
        <v>122</v>
      </c>
      <c r="C6" s="17" t="s">
        <v>54</v>
      </c>
      <c r="D6" s="17" t="s">
        <v>124</v>
      </c>
      <c r="E6" s="17" t="n">
        <v>8</v>
      </c>
      <c r="F6" s="13"/>
      <c r="G6" s="17" t="s">
        <v>130</v>
      </c>
      <c r="H6" s="17" t="n">
        <v>10</v>
      </c>
      <c r="I6" s="16"/>
      <c r="J6" s="16"/>
      <c r="K6" s="16"/>
      <c r="L6" s="16"/>
      <c r="M6" s="16" t="s">
        <v>51</v>
      </c>
      <c r="N6" s="17" t="s">
        <v>131</v>
      </c>
      <c r="O6" s="16"/>
    </row>
    <row r="7" customFormat="false" ht="23.85" hidden="false" customHeight="false" outlineLevel="0" collapsed="false">
      <c r="A7" s="11" t="s">
        <v>132</v>
      </c>
      <c r="B7" s="11" t="s">
        <v>122</v>
      </c>
      <c r="C7" s="11" t="s">
        <v>54</v>
      </c>
      <c r="D7" s="11" t="s">
        <v>49</v>
      </c>
      <c r="E7" s="11" t="n">
        <v>8</v>
      </c>
      <c r="F7" s="13" t="n">
        <f aca="false">AVERAGEIF('Sampling Audit'!$F$5:$F$34,E7,'Sampling Audit'!$J$5:$J$34)</f>
        <v>7.90909090909091</v>
      </c>
      <c r="G7" s="11" t="s">
        <v>133</v>
      </c>
      <c r="H7" s="11" t="n">
        <v>10</v>
      </c>
      <c r="I7" s="16"/>
      <c r="J7" s="16"/>
      <c r="K7" s="16"/>
      <c r="L7" s="16"/>
      <c r="M7" s="16" t="s">
        <v>60</v>
      </c>
      <c r="N7" s="11" t="s">
        <v>134</v>
      </c>
      <c r="O7" s="16" t="s">
        <v>135</v>
      </c>
    </row>
    <row r="8" customFormat="false" ht="23.85" hidden="false" customHeight="false" outlineLevel="0" collapsed="false">
      <c r="A8" s="17" t="s">
        <v>136</v>
      </c>
      <c r="B8" s="17" t="s">
        <v>122</v>
      </c>
      <c r="C8" s="17" t="s">
        <v>54</v>
      </c>
      <c r="D8" s="17" t="s">
        <v>49</v>
      </c>
      <c r="E8" s="17" t="n">
        <v>16</v>
      </c>
      <c r="F8" s="13" t="n">
        <f aca="false">AVERAGEIF('Sampling Audit'!$F$5:$F$34,E8,'Sampling Audit'!$J$5:$J$34)</f>
        <v>15.8181818181818</v>
      </c>
      <c r="G8" s="17" t="s">
        <v>133</v>
      </c>
      <c r="H8" s="17" t="n">
        <v>10</v>
      </c>
      <c r="I8" s="16"/>
      <c r="J8" s="16"/>
      <c r="K8" s="16"/>
      <c r="L8" s="16"/>
      <c r="M8" s="16" t="s">
        <v>60</v>
      </c>
      <c r="N8" s="17" t="s">
        <v>137</v>
      </c>
      <c r="O8" s="16" t="s">
        <v>138</v>
      </c>
    </row>
    <row r="9" customFormat="false" ht="23.85" hidden="false" customHeight="false" outlineLevel="0" collapsed="false">
      <c r="A9" s="11" t="s">
        <v>139</v>
      </c>
      <c r="B9" s="11" t="s">
        <v>122</v>
      </c>
      <c r="C9" s="11" t="s">
        <v>54</v>
      </c>
      <c r="D9" s="11" t="s">
        <v>49</v>
      </c>
      <c r="E9" s="11" t="n">
        <v>24</v>
      </c>
      <c r="F9" s="13" t="n">
        <f aca="false">AVERAGEIF('Sampling Audit'!$F$5:$F$34,E9,'Sampling Audit'!$J$5:$J$34)</f>
        <v>24.9642857142857</v>
      </c>
      <c r="G9" s="11" t="s">
        <v>133</v>
      </c>
      <c r="H9" s="11" t="n">
        <v>10</v>
      </c>
      <c r="I9" s="16"/>
      <c r="J9" s="16"/>
      <c r="K9" s="16"/>
      <c r="L9" s="16"/>
      <c r="M9" s="16" t="s">
        <v>60</v>
      </c>
      <c r="N9" s="11" t="s">
        <v>137</v>
      </c>
      <c r="O9" s="16" t="s">
        <v>140</v>
      </c>
    </row>
    <row r="10" customFormat="false" ht="23.85" hidden="false" customHeight="false" outlineLevel="0" collapsed="false">
      <c r="A10" s="17" t="s">
        <v>141</v>
      </c>
      <c r="B10" s="17" t="s">
        <v>122</v>
      </c>
      <c r="C10" s="17" t="s">
        <v>123</v>
      </c>
      <c r="D10" s="17" t="s">
        <v>49</v>
      </c>
      <c r="E10" s="17" t="n">
        <v>8</v>
      </c>
      <c r="F10" s="13"/>
      <c r="G10" s="17" t="s">
        <v>142</v>
      </c>
      <c r="H10" s="17" t="n">
        <v>10</v>
      </c>
      <c r="I10" s="16"/>
      <c r="J10" s="16"/>
      <c r="K10" s="16"/>
      <c r="L10" s="16"/>
      <c r="M10" s="16" t="s">
        <v>143</v>
      </c>
      <c r="N10" s="17" t="s">
        <v>144</v>
      </c>
      <c r="O10" s="16"/>
    </row>
  </sheetData>
  <autoFilter ref="A1:O10">
    <filterColumn colId="0" hiddenButton="1"/>
  </autoFilter>
  <mergeCells count="2">
    <mergeCell ref="A1:O1"/>
    <mergeCell ref="A2:O2"/>
  </mergeCells>
  <dataValidations count="1">
    <dataValidation allowBlank="false" error="Choose a status from the list." errorStyle="stop" errorTitle="Invalid status" operator="between" showDropDown="false" showErrorMessage="false" showInputMessage="false" sqref="M5:M10" type="list">
      <formula1>"Not started,Prepared,Running,Inference complete; metrics pending,Verified,Complete,Blocked,Not planned"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&amp;C&amp;"Calibri,Bold" CINE Model Benchmark Matrix</oddHeader>
    <oddFooter>&amp;RPage &amp;P of &amp;N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S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29"/>
    <col collapsed="false" customWidth="true" hidden="false" outlineLevel="0" max="4" min="4" style="0" width="13"/>
    <col collapsed="false" customWidth="true" hidden="false" outlineLevel="0" max="6" min="5" style="0" width="28"/>
    <col collapsed="false" customWidth="true" hidden="false" outlineLevel="0" max="7" min="7" style="0" width="45"/>
    <col collapsed="false" customWidth="true" hidden="false" outlineLevel="0" max="8" min="8" style="0" width="32"/>
    <col collapsed="false" customWidth="true" hidden="false" outlineLevel="0" max="9" min="9" style="0" width="15"/>
    <col collapsed="false" customWidth="true" hidden="false" outlineLevel="0" max="10" min="10" style="0" width="22"/>
    <col collapsed="false" customWidth="true" hidden="false" outlineLevel="0" max="12" min="11" style="0" width="20"/>
    <col collapsed="false" customWidth="true" hidden="false" outlineLevel="0" max="13" min="13" style="0" width="17"/>
    <col collapsed="false" customWidth="true" hidden="false" outlineLevel="0" max="16" min="14" style="0" width="15"/>
    <col collapsed="false" customWidth="true" hidden="false" outlineLevel="0" max="17" min="17" style="0" width="18"/>
    <col collapsed="false" customWidth="true" hidden="false" outlineLevel="0" max="18" min="18" style="0" width="17"/>
    <col collapsed="false" customWidth="true" hidden="false" outlineLevel="0" max="19" min="19" style="0" width="36"/>
  </cols>
  <sheetData>
    <row r="1" customFormat="false" ht="30" hidden="false" customHeight="true" outlineLevel="0" collapsed="false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1.5" hidden="false" customHeight="true" outlineLevel="0" collapsed="false">
      <c r="A2" s="2" t="s">
        <v>146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customFormat="false" ht="33.75" hidden="false" customHeight="true" outlineLevel="0" collapsed="false">
      <c r="A4" s="10" t="s">
        <v>147</v>
      </c>
      <c r="B4" s="10" t="s">
        <v>21</v>
      </c>
      <c r="C4" s="10" t="s">
        <v>148</v>
      </c>
      <c r="D4" s="10" t="s">
        <v>29</v>
      </c>
      <c r="E4" s="10" t="s">
        <v>149</v>
      </c>
      <c r="F4" s="10" t="s">
        <v>150</v>
      </c>
      <c r="G4" s="10" t="s">
        <v>151</v>
      </c>
      <c r="H4" s="10" t="s">
        <v>152</v>
      </c>
      <c r="I4" s="10" t="s">
        <v>153</v>
      </c>
      <c r="J4" s="10" t="s">
        <v>154</v>
      </c>
      <c r="K4" s="10" t="s">
        <v>155</v>
      </c>
      <c r="L4" s="10" t="s">
        <v>156</v>
      </c>
      <c r="M4" s="10" t="s">
        <v>99</v>
      </c>
      <c r="N4" s="10" t="s">
        <v>157</v>
      </c>
      <c r="O4" s="10" t="s">
        <v>158</v>
      </c>
      <c r="P4" s="10" t="s">
        <v>159</v>
      </c>
      <c r="Q4" s="10" t="s">
        <v>160</v>
      </c>
      <c r="R4" s="10" t="s">
        <v>100</v>
      </c>
      <c r="S4" s="10" t="s">
        <v>73</v>
      </c>
    </row>
    <row r="5" customFormat="false" ht="15" hidden="false" customHeight="false" outlineLevel="0" collapsed="false">
      <c r="A5" s="11" t="s">
        <v>161</v>
      </c>
      <c r="B5" s="11" t="s">
        <v>45</v>
      </c>
      <c r="C5" s="11" t="s">
        <v>162</v>
      </c>
      <c r="D5" s="11" t="n">
        <v>8</v>
      </c>
      <c r="E5" s="16"/>
      <c r="F5" s="16"/>
      <c r="G5" s="16"/>
      <c r="H5" s="16"/>
      <c r="I5" s="16"/>
      <c r="J5" s="16"/>
      <c r="K5" s="30"/>
      <c r="L5" s="30"/>
      <c r="M5" s="31" t="str">
        <f aca="false">IF(OR(K5="",L5=""),"",(L5-K5)*1440)</f>
        <v/>
      </c>
      <c r="N5" s="11" t="n">
        <v>10</v>
      </c>
      <c r="O5" s="16" t="n">
        <v>0</v>
      </c>
      <c r="P5" s="32" t="n">
        <f aca="false">IFERROR(O5/N5,0)</f>
        <v>0</v>
      </c>
      <c r="Q5" s="16" t="s">
        <v>51</v>
      </c>
      <c r="R5" s="16" t="s">
        <v>51</v>
      </c>
      <c r="S5" s="16"/>
    </row>
    <row r="6" customFormat="false" ht="15" hidden="false" customHeight="false" outlineLevel="0" collapsed="false">
      <c r="A6" s="17" t="s">
        <v>163</v>
      </c>
      <c r="B6" s="17" t="s">
        <v>45</v>
      </c>
      <c r="C6" s="17" t="s">
        <v>162</v>
      </c>
      <c r="D6" s="17" t="n">
        <v>16</v>
      </c>
      <c r="E6" s="16"/>
      <c r="F6" s="16"/>
      <c r="G6" s="16"/>
      <c r="H6" s="16"/>
      <c r="I6" s="16"/>
      <c r="J6" s="16"/>
      <c r="K6" s="30"/>
      <c r="L6" s="30"/>
      <c r="M6" s="31" t="str">
        <f aca="false">IF(OR(K6="",L6=""),"",(L6-K6)*1440)</f>
        <v/>
      </c>
      <c r="N6" s="17" t="n">
        <v>10</v>
      </c>
      <c r="O6" s="16" t="n">
        <v>0</v>
      </c>
      <c r="P6" s="32" t="n">
        <f aca="false">IFERROR(O6/N6,0)</f>
        <v>0</v>
      </c>
      <c r="Q6" s="16" t="s">
        <v>51</v>
      </c>
      <c r="R6" s="16" t="s">
        <v>51</v>
      </c>
      <c r="S6" s="16"/>
    </row>
    <row r="7" customFormat="false" ht="15" hidden="false" customHeight="false" outlineLevel="0" collapsed="false">
      <c r="A7" s="11" t="s">
        <v>164</v>
      </c>
      <c r="B7" s="11" t="s">
        <v>45</v>
      </c>
      <c r="C7" s="11" t="s">
        <v>162</v>
      </c>
      <c r="D7" s="11" t="n">
        <v>24</v>
      </c>
      <c r="E7" s="16"/>
      <c r="F7" s="16"/>
      <c r="G7" s="16"/>
      <c r="H7" s="16"/>
      <c r="I7" s="16"/>
      <c r="J7" s="16"/>
      <c r="K7" s="30"/>
      <c r="L7" s="30"/>
      <c r="M7" s="31" t="str">
        <f aca="false">IF(OR(K7="",L7=""),"",(L7-K7)*1440)</f>
        <v/>
      </c>
      <c r="N7" s="11" t="n">
        <v>10</v>
      </c>
      <c r="O7" s="16" t="n">
        <v>0</v>
      </c>
      <c r="P7" s="32" t="n">
        <f aca="false">IFERROR(O7/N7,0)</f>
        <v>0</v>
      </c>
      <c r="Q7" s="16" t="s">
        <v>51</v>
      </c>
      <c r="R7" s="16" t="s">
        <v>51</v>
      </c>
      <c r="S7" s="16"/>
    </row>
    <row r="8" customFormat="false" ht="15" hidden="false" customHeight="false" outlineLevel="0" collapsed="false">
      <c r="A8" s="17" t="s">
        <v>165</v>
      </c>
      <c r="B8" s="17" t="s">
        <v>52</v>
      </c>
      <c r="C8" s="17" t="s">
        <v>162</v>
      </c>
      <c r="D8" s="17" t="n">
        <v>8</v>
      </c>
      <c r="E8" s="16"/>
      <c r="F8" s="16"/>
      <c r="G8" s="16"/>
      <c r="H8" s="16"/>
      <c r="I8" s="16"/>
      <c r="J8" s="16"/>
      <c r="K8" s="30"/>
      <c r="L8" s="30"/>
      <c r="M8" s="31" t="str">
        <f aca="false">IF(OR(K8="",L8=""),"",(L8-K8)*1440)</f>
        <v/>
      </c>
      <c r="N8" s="17" t="n">
        <v>10</v>
      </c>
      <c r="O8" s="16" t="n">
        <v>0</v>
      </c>
      <c r="P8" s="32" t="n">
        <f aca="false">IFERROR(O8/N8,0)</f>
        <v>0</v>
      </c>
      <c r="Q8" s="16" t="s">
        <v>51</v>
      </c>
      <c r="R8" s="16" t="s">
        <v>51</v>
      </c>
      <c r="S8" s="16"/>
    </row>
    <row r="9" customFormat="false" ht="15" hidden="false" customHeight="false" outlineLevel="0" collapsed="false">
      <c r="A9" s="11" t="s">
        <v>166</v>
      </c>
      <c r="B9" s="11" t="s">
        <v>52</v>
      </c>
      <c r="C9" s="11" t="s">
        <v>162</v>
      </c>
      <c r="D9" s="11" t="n">
        <v>16</v>
      </c>
      <c r="E9" s="16"/>
      <c r="F9" s="16"/>
      <c r="G9" s="16"/>
      <c r="H9" s="16"/>
      <c r="I9" s="16"/>
      <c r="J9" s="16"/>
      <c r="K9" s="30"/>
      <c r="L9" s="30"/>
      <c r="M9" s="31" t="str">
        <f aca="false">IF(OR(K9="",L9=""),"",(L9-K9)*1440)</f>
        <v/>
      </c>
      <c r="N9" s="11" t="n">
        <v>10</v>
      </c>
      <c r="O9" s="16" t="n">
        <v>0</v>
      </c>
      <c r="P9" s="32" t="n">
        <f aca="false">IFERROR(O9/N9,0)</f>
        <v>0</v>
      </c>
      <c r="Q9" s="16" t="s">
        <v>51</v>
      </c>
      <c r="R9" s="16" t="s">
        <v>51</v>
      </c>
      <c r="S9" s="16"/>
    </row>
    <row r="10" customFormat="false" ht="15" hidden="false" customHeight="false" outlineLevel="0" collapsed="false">
      <c r="A10" s="17" t="s">
        <v>167</v>
      </c>
      <c r="B10" s="17" t="s">
        <v>52</v>
      </c>
      <c r="C10" s="17" t="s">
        <v>162</v>
      </c>
      <c r="D10" s="17" t="n">
        <v>24</v>
      </c>
      <c r="E10" s="16"/>
      <c r="F10" s="16"/>
      <c r="G10" s="16"/>
      <c r="H10" s="16"/>
      <c r="I10" s="16"/>
      <c r="J10" s="16"/>
      <c r="K10" s="30"/>
      <c r="L10" s="30"/>
      <c r="M10" s="31" t="str">
        <f aca="false">IF(OR(K10="",L10=""),"",(L10-K10)*1440)</f>
        <v/>
      </c>
      <c r="N10" s="17" t="n">
        <v>10</v>
      </c>
      <c r="O10" s="16" t="n">
        <v>0</v>
      </c>
      <c r="P10" s="32" t="n">
        <f aca="false">IFERROR(O10/N10,0)</f>
        <v>0</v>
      </c>
      <c r="Q10" s="16" t="s">
        <v>51</v>
      </c>
      <c r="R10" s="16" t="s">
        <v>51</v>
      </c>
      <c r="S10" s="16"/>
    </row>
    <row r="11" customFormat="false" ht="15" hidden="false" customHeight="false" outlineLevel="0" collapsed="false">
      <c r="A11" s="11" t="s">
        <v>168</v>
      </c>
      <c r="B11" s="11" t="s">
        <v>55</v>
      </c>
      <c r="C11" s="11" t="s">
        <v>162</v>
      </c>
      <c r="D11" s="11" t="n">
        <v>8</v>
      </c>
      <c r="E11" s="16"/>
      <c r="F11" s="16"/>
      <c r="G11" s="16"/>
      <c r="H11" s="16"/>
      <c r="I11" s="16"/>
      <c r="J11" s="16"/>
      <c r="K11" s="30"/>
      <c r="L11" s="30"/>
      <c r="M11" s="31" t="str">
        <f aca="false">IF(OR(K11="",L11=""),"",(L11-K11)*1440)</f>
        <v/>
      </c>
      <c r="N11" s="11" t="n">
        <v>10</v>
      </c>
      <c r="O11" s="16" t="n">
        <v>0</v>
      </c>
      <c r="P11" s="32" t="n">
        <f aca="false">IFERROR(O11/N11,0)</f>
        <v>0</v>
      </c>
      <c r="Q11" s="16" t="s">
        <v>51</v>
      </c>
      <c r="R11" s="16" t="s">
        <v>51</v>
      </c>
      <c r="S11" s="16"/>
    </row>
    <row r="12" customFormat="false" ht="15" hidden="false" customHeight="false" outlineLevel="0" collapsed="false">
      <c r="A12" s="17" t="s">
        <v>169</v>
      </c>
      <c r="B12" s="17" t="s">
        <v>55</v>
      </c>
      <c r="C12" s="17" t="s">
        <v>162</v>
      </c>
      <c r="D12" s="17" t="n">
        <v>16</v>
      </c>
      <c r="E12" s="16"/>
      <c r="F12" s="16"/>
      <c r="G12" s="16"/>
      <c r="H12" s="16"/>
      <c r="I12" s="16"/>
      <c r="J12" s="16"/>
      <c r="K12" s="30"/>
      <c r="L12" s="30"/>
      <c r="M12" s="31" t="str">
        <f aca="false">IF(OR(K12="",L12=""),"",(L12-K12)*1440)</f>
        <v/>
      </c>
      <c r="N12" s="17" t="n">
        <v>10</v>
      </c>
      <c r="O12" s="16" t="n">
        <v>0</v>
      </c>
      <c r="P12" s="32" t="n">
        <f aca="false">IFERROR(O12/N12,0)</f>
        <v>0</v>
      </c>
      <c r="Q12" s="16" t="s">
        <v>51</v>
      </c>
      <c r="R12" s="16" t="s">
        <v>51</v>
      </c>
      <c r="S12" s="16"/>
    </row>
    <row r="13" customFormat="false" ht="15" hidden="false" customHeight="false" outlineLevel="0" collapsed="false">
      <c r="A13" s="11" t="s">
        <v>170</v>
      </c>
      <c r="B13" s="11" t="s">
        <v>55</v>
      </c>
      <c r="C13" s="11" t="s">
        <v>162</v>
      </c>
      <c r="D13" s="11" t="n">
        <v>24</v>
      </c>
      <c r="E13" s="16"/>
      <c r="F13" s="16"/>
      <c r="G13" s="16"/>
      <c r="H13" s="16"/>
      <c r="I13" s="16"/>
      <c r="J13" s="16"/>
      <c r="K13" s="30"/>
      <c r="L13" s="30"/>
      <c r="M13" s="31" t="str">
        <f aca="false">IF(OR(K13="",L13=""),"",(L13-K13)*1440)</f>
        <v/>
      </c>
      <c r="N13" s="11" t="n">
        <v>10</v>
      </c>
      <c r="O13" s="16" t="n">
        <v>0</v>
      </c>
      <c r="P13" s="32" t="n">
        <f aca="false">IFERROR(O13/N13,0)</f>
        <v>0</v>
      </c>
      <c r="Q13" s="16" t="s">
        <v>51</v>
      </c>
      <c r="R13" s="16" t="s">
        <v>51</v>
      </c>
      <c r="S13" s="16"/>
    </row>
    <row r="14" customFormat="false" ht="23.85" hidden="false" customHeight="false" outlineLevel="0" collapsed="false">
      <c r="A14" s="17" t="s">
        <v>171</v>
      </c>
      <c r="B14" s="17" t="s">
        <v>57</v>
      </c>
      <c r="C14" s="17" t="s">
        <v>162</v>
      </c>
      <c r="D14" s="17" t="n">
        <v>8</v>
      </c>
      <c r="E14" s="16" t="s">
        <v>172</v>
      </c>
      <c r="F14" s="16" t="s">
        <v>173</v>
      </c>
      <c r="G14" s="16"/>
      <c r="H14" s="16"/>
      <c r="I14" s="16"/>
      <c r="J14" s="16" t="s">
        <v>174</v>
      </c>
      <c r="K14" s="30"/>
      <c r="L14" s="30"/>
      <c r="M14" s="31" t="str">
        <f aca="false">IF(OR(K14="",L14=""),"",(L14-K14)*1440)</f>
        <v/>
      </c>
      <c r="N14" s="17" t="n">
        <v>10</v>
      </c>
      <c r="O14" s="16" t="n">
        <v>10</v>
      </c>
      <c r="P14" s="32" t="n">
        <f aca="false">IFERROR(O14/N14,0)</f>
        <v>1</v>
      </c>
      <c r="Q14" s="16" t="s">
        <v>76</v>
      </c>
      <c r="R14" s="16" t="s">
        <v>60</v>
      </c>
      <c r="S14" s="16" t="s">
        <v>175</v>
      </c>
    </row>
    <row r="15" customFormat="false" ht="23.85" hidden="false" customHeight="false" outlineLevel="0" collapsed="false">
      <c r="A15" s="11" t="s">
        <v>176</v>
      </c>
      <c r="B15" s="11" t="s">
        <v>57</v>
      </c>
      <c r="C15" s="11" t="s">
        <v>162</v>
      </c>
      <c r="D15" s="11" t="n">
        <v>16</v>
      </c>
      <c r="E15" s="16" t="s">
        <v>177</v>
      </c>
      <c r="F15" s="16" t="s">
        <v>178</v>
      </c>
      <c r="G15" s="16"/>
      <c r="H15" s="16"/>
      <c r="I15" s="16"/>
      <c r="J15" s="16" t="s">
        <v>174</v>
      </c>
      <c r="K15" s="30"/>
      <c r="L15" s="30"/>
      <c r="M15" s="31" t="str">
        <f aca="false">IF(OR(K15="",L15=""),"",(L15-K15)*1440)</f>
        <v/>
      </c>
      <c r="N15" s="11" t="n">
        <v>10</v>
      </c>
      <c r="O15" s="16" t="n">
        <v>10</v>
      </c>
      <c r="P15" s="32" t="n">
        <f aca="false">IFERROR(O15/N15,0)</f>
        <v>1</v>
      </c>
      <c r="Q15" s="16" t="s">
        <v>76</v>
      </c>
      <c r="R15" s="16" t="s">
        <v>60</v>
      </c>
      <c r="S15" s="16" t="s">
        <v>175</v>
      </c>
    </row>
    <row r="16" customFormat="false" ht="23.85" hidden="false" customHeight="false" outlineLevel="0" collapsed="false">
      <c r="A16" s="17" t="s">
        <v>179</v>
      </c>
      <c r="B16" s="17" t="s">
        <v>57</v>
      </c>
      <c r="C16" s="17" t="s">
        <v>162</v>
      </c>
      <c r="D16" s="17" t="n">
        <v>24</v>
      </c>
      <c r="E16" s="16" t="s">
        <v>180</v>
      </c>
      <c r="F16" s="16" t="s">
        <v>181</v>
      </c>
      <c r="G16" s="16"/>
      <c r="H16" s="16"/>
      <c r="I16" s="16"/>
      <c r="J16" s="16" t="s">
        <v>174</v>
      </c>
      <c r="K16" s="30"/>
      <c r="L16" s="30"/>
      <c r="M16" s="31" t="str">
        <f aca="false">IF(OR(K16="",L16=""),"",(L16-K16)*1440)</f>
        <v/>
      </c>
      <c r="N16" s="17" t="n">
        <v>10</v>
      </c>
      <c r="O16" s="16" t="n">
        <v>10</v>
      </c>
      <c r="P16" s="32" t="n">
        <f aca="false">IFERROR(O16/N16,0)</f>
        <v>1</v>
      </c>
      <c r="Q16" s="16" t="s">
        <v>76</v>
      </c>
      <c r="R16" s="16" t="s">
        <v>60</v>
      </c>
      <c r="S16" s="16" t="s">
        <v>175</v>
      </c>
    </row>
  </sheetData>
  <autoFilter ref="A1:S16">
    <filterColumn colId="0" hiddenButton="1"/>
  </autoFilter>
  <mergeCells count="2">
    <mergeCell ref="A1:S1"/>
    <mergeCell ref="A2:S2"/>
  </mergeCells>
  <conditionalFormatting sqref="P5:P16">
    <cfRule type="cellIs" priority="2" operator="equal" aboveAverage="0" equalAverage="0" bottom="0" percent="0" rank="0" text="" dxfId="14">
      <formula>1</formula>
    </cfRule>
    <cfRule type="cellIs" priority="3" operator="lessThan" aboveAverage="0" equalAverage="0" bottom="0" percent="0" rank="0" text="" dxfId="15">
      <formula>1</formula>
    </cfRule>
  </conditionalFormatting>
  <dataValidations count="2">
    <dataValidation allowBlank="false" error="Choose a status from the list." errorStyle="stop" errorTitle="Invalid status" operator="between" showDropDown="false" showErrorMessage="false" showInputMessage="false" sqref="Q5:Q16" type="list">
      <formula1>"Not started,Prepared,Running,Inference complete; metrics pending,Verified,Complete,Blocked,Not planned"</formula1>
      <formula2>0</formula2>
    </dataValidation>
    <dataValidation allowBlank="false" error="Choose a status from the list." errorStyle="stop" errorTitle="Invalid status" operator="between" showDropDown="false" showErrorMessage="false" showInputMessage="false" sqref="R5:R16" type="list">
      <formula1>"Not started,Prepared,Running,Inference complete; metrics pending,Verified,Complete,Blocked,Not planned"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&amp;C&amp;"Calibri,Bold" CINE Model Benchmark Matrix</oddHeader>
    <oddFooter>&amp;RPage &amp;P of &amp;N</oddFooter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1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51"/>
    <col collapsed="false" customWidth="true" hidden="false" outlineLevel="0" max="7" min="7" style="0" width="30"/>
  </cols>
  <sheetData>
    <row r="1" customFormat="false" ht="30" hidden="false" customHeight="true" outlineLevel="0" collapsed="false">
      <c r="A1" s="1" t="s">
        <v>182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2" t="s">
        <v>183</v>
      </c>
      <c r="B2" s="2"/>
      <c r="C2" s="2"/>
      <c r="D2" s="2"/>
      <c r="E2" s="2"/>
      <c r="F2" s="2"/>
      <c r="G2" s="2"/>
    </row>
    <row r="4" customFormat="false" ht="33.75" hidden="false" customHeight="true" outlineLevel="0" collapsed="false">
      <c r="A4" s="10" t="s">
        <v>184</v>
      </c>
      <c r="B4" s="10" t="s">
        <v>185</v>
      </c>
      <c r="C4" s="10" t="s">
        <v>186</v>
      </c>
      <c r="D4" s="10" t="s">
        <v>187</v>
      </c>
      <c r="E4" s="10" t="s">
        <v>188</v>
      </c>
      <c r="F4" s="10" t="s">
        <v>189</v>
      </c>
      <c r="G4" s="10" t="s">
        <v>190</v>
      </c>
    </row>
    <row r="5" customFormat="false" ht="23.85" hidden="false" customHeight="false" outlineLevel="0" collapsed="false">
      <c r="A5" s="11" t="s">
        <v>116</v>
      </c>
      <c r="B5" s="11" t="s">
        <v>191</v>
      </c>
      <c r="C5" s="11" t="s">
        <v>192</v>
      </c>
      <c r="D5" s="11" t="s">
        <v>193</v>
      </c>
      <c r="E5" s="11" t="s">
        <v>59</v>
      </c>
      <c r="F5" s="11" t="s">
        <v>194</v>
      </c>
      <c r="G5" s="11" t="s">
        <v>195</v>
      </c>
    </row>
    <row r="6" customFormat="false" ht="23.85" hidden="false" customHeight="false" outlineLevel="0" collapsed="false">
      <c r="A6" s="17" t="s">
        <v>117</v>
      </c>
      <c r="B6" s="17" t="s">
        <v>196</v>
      </c>
      <c r="C6" s="17" t="s">
        <v>192</v>
      </c>
      <c r="D6" s="17" t="s">
        <v>193</v>
      </c>
      <c r="E6" s="17" t="s">
        <v>59</v>
      </c>
      <c r="F6" s="17" t="s">
        <v>197</v>
      </c>
      <c r="G6" s="17" t="s">
        <v>198</v>
      </c>
    </row>
    <row r="7" customFormat="false" ht="23.85" hidden="false" customHeight="false" outlineLevel="0" collapsed="false">
      <c r="A7" s="11" t="s">
        <v>118</v>
      </c>
      <c r="B7" s="11" t="s">
        <v>199</v>
      </c>
      <c r="C7" s="11" t="s">
        <v>192</v>
      </c>
      <c r="D7" s="11" t="s">
        <v>200</v>
      </c>
      <c r="E7" s="11" t="s">
        <v>59</v>
      </c>
      <c r="F7" s="11" t="s">
        <v>201</v>
      </c>
      <c r="G7" s="11" t="s">
        <v>202</v>
      </c>
    </row>
    <row r="8" customFormat="false" ht="15" hidden="false" customHeight="false" outlineLevel="0" collapsed="false">
      <c r="A8" s="17" t="s">
        <v>203</v>
      </c>
      <c r="B8" s="17" t="s">
        <v>204</v>
      </c>
      <c r="C8" s="17" t="s">
        <v>205</v>
      </c>
      <c r="D8" s="17" t="s">
        <v>200</v>
      </c>
      <c r="E8" s="17" t="s">
        <v>206</v>
      </c>
      <c r="F8" s="17" t="s">
        <v>207</v>
      </c>
      <c r="G8" s="17" t="s">
        <v>208</v>
      </c>
    </row>
    <row r="9" customFormat="false" ht="23.85" hidden="false" customHeight="false" outlineLevel="0" collapsed="false">
      <c r="A9" s="11" t="s">
        <v>69</v>
      </c>
      <c r="B9" s="11" t="s">
        <v>209</v>
      </c>
      <c r="C9" s="11" t="s">
        <v>210</v>
      </c>
      <c r="D9" s="11" t="s">
        <v>211</v>
      </c>
      <c r="E9" s="11" t="s">
        <v>59</v>
      </c>
      <c r="F9" s="11" t="s">
        <v>212</v>
      </c>
      <c r="G9" s="11" t="s">
        <v>213</v>
      </c>
    </row>
    <row r="10" customFormat="false" ht="23.85" hidden="false" customHeight="false" outlineLevel="0" collapsed="false">
      <c r="A10" s="17" t="s">
        <v>214</v>
      </c>
      <c r="B10" s="17" t="s">
        <v>215</v>
      </c>
      <c r="C10" s="17" t="s">
        <v>216</v>
      </c>
      <c r="D10" s="17" t="s">
        <v>200</v>
      </c>
      <c r="E10" s="17" t="s">
        <v>59</v>
      </c>
      <c r="F10" s="17" t="s">
        <v>217</v>
      </c>
      <c r="G10" s="17" t="s">
        <v>218</v>
      </c>
    </row>
    <row r="11" customFormat="false" ht="23.85" hidden="false" customHeight="false" outlineLevel="0" collapsed="false">
      <c r="A11" s="11" t="s">
        <v>219</v>
      </c>
      <c r="B11" s="11" t="s">
        <v>220</v>
      </c>
      <c r="C11" s="11" t="s">
        <v>221</v>
      </c>
      <c r="D11" s="11" t="s">
        <v>200</v>
      </c>
      <c r="E11" s="11" t="s">
        <v>222</v>
      </c>
      <c r="F11" s="11" t="s">
        <v>223</v>
      </c>
      <c r="G11" s="11" t="s">
        <v>218</v>
      </c>
    </row>
    <row r="12" customFormat="false" ht="15" hidden="false" customHeight="false" outlineLevel="0" collapsed="false">
      <c r="A12" s="17" t="s">
        <v>224</v>
      </c>
      <c r="B12" s="17" t="s">
        <v>225</v>
      </c>
      <c r="C12" s="17" t="s">
        <v>226</v>
      </c>
      <c r="D12" s="17" t="s">
        <v>211</v>
      </c>
      <c r="E12" s="17" t="s">
        <v>59</v>
      </c>
      <c r="F12" s="17" t="s">
        <v>227</v>
      </c>
      <c r="G12" s="17" t="s">
        <v>228</v>
      </c>
    </row>
  </sheetData>
  <autoFilter ref="A1:G12">
    <filterColumn colId="0" hiddenButton="1"/>
  </autoFilter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&amp;C&amp;"Calibri,Bold" CINE Model Benchmark Matrix</oddHeader>
    <oddFooter>&amp;RPage &amp;P of &amp;N</oddFooter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52"/>
    <col collapsed="false" customWidth="true" hidden="false" outlineLevel="0" max="5" min="5" style="0" width="65"/>
  </cols>
  <sheetData>
    <row r="1" customFormat="false" ht="30" hidden="false" customHeight="true" outlineLevel="0" collapsed="false">
      <c r="A1" s="1" t="s">
        <v>229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230</v>
      </c>
      <c r="B2" s="2"/>
      <c r="C2" s="2"/>
      <c r="D2" s="2"/>
      <c r="E2" s="2"/>
    </row>
    <row r="4" customFormat="false" ht="33.75" hidden="false" customHeight="true" outlineLevel="0" collapsed="false">
      <c r="A4" s="10" t="s">
        <v>231</v>
      </c>
      <c r="B4" s="10" t="s">
        <v>232</v>
      </c>
      <c r="C4" s="10" t="s">
        <v>233</v>
      </c>
      <c r="D4" s="10" t="s">
        <v>234</v>
      </c>
      <c r="E4" s="10" t="s">
        <v>235</v>
      </c>
    </row>
    <row r="5" customFormat="false" ht="23.85" hidden="false" customHeight="false" outlineLevel="0" collapsed="false">
      <c r="A5" s="11" t="s">
        <v>236</v>
      </c>
      <c r="B5" s="11" t="s">
        <v>237</v>
      </c>
      <c r="C5" s="11" t="s">
        <v>238</v>
      </c>
      <c r="D5" s="11" t="s">
        <v>239</v>
      </c>
      <c r="E5" s="11" t="s">
        <v>240</v>
      </c>
    </row>
    <row r="6" customFormat="false" ht="15" hidden="false" customHeight="false" outlineLevel="0" collapsed="false">
      <c r="A6" s="17" t="s">
        <v>241</v>
      </c>
      <c r="B6" s="17" t="s">
        <v>242</v>
      </c>
      <c r="C6" s="17" t="s">
        <v>243</v>
      </c>
      <c r="D6" s="17" t="s">
        <v>244</v>
      </c>
      <c r="E6" s="17" t="s">
        <v>245</v>
      </c>
    </row>
    <row r="7" customFormat="false" ht="15" hidden="false" customHeight="false" outlineLevel="0" collapsed="false">
      <c r="A7" s="11" t="s">
        <v>246</v>
      </c>
      <c r="B7" s="11" t="s">
        <v>247</v>
      </c>
      <c r="C7" s="11" t="s">
        <v>248</v>
      </c>
      <c r="D7" s="11" t="s">
        <v>249</v>
      </c>
      <c r="E7" s="11" t="s">
        <v>250</v>
      </c>
    </row>
    <row r="8" customFormat="false" ht="23.85" hidden="false" customHeight="false" outlineLevel="0" collapsed="false">
      <c r="A8" s="17" t="s">
        <v>251</v>
      </c>
      <c r="B8" s="17" t="s">
        <v>252</v>
      </c>
      <c r="C8" s="17" t="s">
        <v>253</v>
      </c>
      <c r="D8" s="17" t="s">
        <v>254</v>
      </c>
      <c r="E8" s="17" t="s">
        <v>255</v>
      </c>
    </row>
    <row r="9" customFormat="false" ht="15" hidden="false" customHeight="false" outlineLevel="0" collapsed="false">
      <c r="A9" s="11" t="s">
        <v>256</v>
      </c>
      <c r="B9" s="11" t="s">
        <v>242</v>
      </c>
      <c r="C9" s="11" t="s">
        <v>257</v>
      </c>
      <c r="D9" s="11" t="s">
        <v>258</v>
      </c>
      <c r="E9" s="11" t="s">
        <v>259</v>
      </c>
    </row>
    <row r="10" customFormat="false" ht="23.85" hidden="false" customHeight="false" outlineLevel="0" collapsed="false">
      <c r="A10" s="17" t="s">
        <v>260</v>
      </c>
      <c r="B10" s="17" t="s">
        <v>242</v>
      </c>
      <c r="C10" s="17" t="s">
        <v>261</v>
      </c>
      <c r="D10" s="17" t="s">
        <v>262</v>
      </c>
      <c r="E10" s="17" t="s">
        <v>263</v>
      </c>
    </row>
  </sheetData>
  <autoFilter ref="A1:E10">
    <filterColumn colId="0" hiddenButton="1"/>
  </autoFilter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&amp;C&amp;"Calibri,Bold" CINE Model Benchmark Matrix</oddHeader>
    <oddFooter>&amp;RPage &amp;P of &amp;N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2026-07-30T11:28:34Z</dcterms:created>
  <dc:creator>openpyxl</dc:creator>
  <dc:description/>
  <dc:language>en-US</dc:language>
  <cp:lastModifiedBy/>
  <dcterms:modified xsi:type="dcterms:W3CDTF">2026-07-30T11:28:34Z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